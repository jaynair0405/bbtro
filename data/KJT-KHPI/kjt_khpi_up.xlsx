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eress_report" sheetId="1" r:id="rId5"/>
    <sheet state="visible" name="DN TH" sheetId="2" r:id="rId6"/>
    <sheet state="visible" name="Station DN TH" sheetId="3" r:id="rId7"/>
    <sheet state="visible" name="UP TH" sheetId="4" r:id="rId8"/>
    <sheet state="visible" name="Sheet45" sheetId="5" r:id="rId9"/>
    <sheet state="visible" name="DN LL" sheetId="6" r:id="rId10"/>
    <sheet state="visible" name="UP LL" sheetId="7" r:id="rId11"/>
    <sheet state="visible" name="PSR UP LL" sheetId="8" r:id="rId12"/>
    <sheet state="visible" name="CSMT-PNVL" sheetId="9" r:id="rId13"/>
    <sheet state="visible" name="PSR CSMT-PNVL DN HB" sheetId="10" r:id="rId14"/>
    <sheet state="visible" name="Stations DN HB" sheetId="11" r:id="rId15"/>
    <sheet state="visible" name="Sheet46" sheetId="12" r:id="rId16"/>
    <sheet state="visible" name="NEU-TNA" sheetId="13" r:id="rId17"/>
    <sheet state="visible" name="PSR NEU-TNA THB" sheetId="14" r:id="rId18"/>
    <sheet state="visible" name="Stations NEU-TNA THB" sheetId="15" r:id="rId19"/>
    <sheet state="visible" name="TNA-VSH THB" sheetId="16" r:id="rId20"/>
    <sheet state="visible" name="PSR TNA-VSH THB" sheetId="17" r:id="rId21"/>
    <sheet state="visible" name="STATIONS TNA-VSH THB" sheetId="18" r:id="rId22"/>
    <sheet state="visible" name="TNA-NEU THB" sheetId="19" r:id="rId23"/>
    <sheet state="visible" name="PSR TNA-NEU THB" sheetId="20" r:id="rId24"/>
    <sheet state="visible" name="STATIONS TNA-NEU THB" sheetId="21" r:id="rId25"/>
    <sheet state="visible" name="VSH-TNA THB" sheetId="22" r:id="rId26"/>
    <sheet state="visible" name="PSR VSH-TNA THB" sheetId="23" r:id="rId27"/>
    <sheet state="visible" name="STATIONS VSH-TNA THB" sheetId="24" r:id="rId28"/>
    <sheet state="visible" name="PNVL-DW" sheetId="25" r:id="rId29"/>
    <sheet state="visible" name="DW-PNVL" sheetId="26" r:id="rId30"/>
    <sheet state="visible" name="KYN-KJT" sheetId="27" r:id="rId31"/>
    <sheet state="visible" name="KJT-KYN" sheetId="28" r:id="rId32"/>
    <sheet state="visible" name="KYN-KSRA" sheetId="29" r:id="rId33"/>
    <sheet state="visible" name="PSR KYN-KSRA" sheetId="30" r:id="rId34"/>
    <sheet state="visible" name="Stations KYN-KSRA" sheetId="31" r:id="rId35"/>
    <sheet state="visible" name="KSRA-IGP DN ML" sheetId="32" r:id="rId36"/>
    <sheet state="visible" name="KSRA-IGP DN MID" sheetId="33" r:id="rId37"/>
    <sheet state="visible" name="IGP-KSRA UP ML" sheetId="34" r:id="rId38"/>
    <sheet state="visible" name="PSR IGP-KSRA UP " sheetId="35" r:id="rId39"/>
    <sheet state="visible" name="STATIONS IGP-KSRA" sheetId="36" r:id="rId40"/>
    <sheet state="visible" name="IGP-KSRA UP MID" sheetId="37" r:id="rId41"/>
    <sheet state="visible" name="KSRA-KYN" sheetId="38" r:id="rId42"/>
    <sheet state="visible" name="PSR KSRA KYN" sheetId="39" r:id="rId43"/>
    <sheet state="visible" name="STATIONS KSRA-KYN" sheetId="40" r:id="rId44"/>
    <sheet state="visible" name="PNVL-RH" sheetId="41" r:id="rId45"/>
    <sheet state="visible" name="RH-PNVL" sheetId="42" r:id="rId46"/>
    <sheet state="visible" name="KJT-LNL DN ML" sheetId="43" r:id="rId47"/>
    <sheet state="visible" name="PSR KJT-LNL DN ML" sheetId="44" r:id="rId48"/>
    <sheet state="visible" name="STATIONS KJT-LNL DN SE" sheetId="45" r:id="rId49"/>
    <sheet state="visible" name="KJT-LNL DN MID" sheetId="46" r:id="rId50"/>
    <sheet state="visible" name="PSR KJT-LNL DN MID" sheetId="47" r:id="rId51"/>
    <sheet state="visible" name="STATIONS KJT-LNL MID" sheetId="48" r:id="rId52"/>
    <sheet state="visible" name="LNL-KJT UP MID" sheetId="49" r:id="rId53"/>
    <sheet state="visible" name="PSR LNL-KJT UP MID " sheetId="50" r:id="rId54"/>
    <sheet state="visible" name="LNL-KJT UP ML" sheetId="51" r:id="rId55"/>
    <sheet state="visible" name="STATIONS LNL-KJT UP SE" sheetId="52" r:id="rId56"/>
    <sheet state="visible" name="PSR LNL-KJT UP ML" sheetId="53" r:id="rId57"/>
    <sheet state="visible" name="5TH LINE" sheetId="54" r:id="rId58"/>
    <sheet state="visible" name="PSR 5TH LINE" sheetId="55" r:id="rId59"/>
    <sheet state="visible" name="Stations 5TH LINE" sheetId="56" r:id="rId60"/>
    <sheet state="visible" name="6TH LINE" sheetId="57" r:id="rId61"/>
    <sheet state="visible" name="PSR 6TH LINE" sheetId="58" r:id="rId62"/>
    <sheet state="visible" name="STATIONS 6TH LINE" sheetId="59" r:id="rId63"/>
    <sheet state="visible" name="PNVL-BSR" sheetId="60" r:id="rId64"/>
    <sheet state="visible" name="BSR-PNVL" sheetId="61" r:id="rId65"/>
    <sheet state="visible" name="PEN-THAL" sheetId="62" r:id="rId66"/>
    <sheet state="visible" name="THAL-PEN" sheetId="63" r:id="rId67"/>
    <sheet state="visible" name="Sheet37" sheetId="64" r:id="rId68"/>
    <sheet state="visible" name="Sheet3" sheetId="65" r:id="rId69"/>
    <sheet state="visible" name="Sheet4" sheetId="66" r:id="rId70"/>
    <sheet state="visible" name="PSR" sheetId="67" r:id="rId71"/>
    <sheet state="visible" name="PNVL-CSMT" sheetId="68" r:id="rId72"/>
    <sheet state="visible" name="PSR PNVL-CSMT UP HB" sheetId="69" r:id="rId73"/>
    <sheet state="visible" name="Station UP HB" sheetId="70" r:id="rId74"/>
    <sheet state="visible" name="URAN-NEU BSU LINE" sheetId="71" r:id="rId75"/>
    <sheet state="visible" name="URAN-NEU PSR" sheetId="72" r:id="rId76"/>
    <sheet state="visible" name="URAN-NEU STATION" sheetId="73" r:id="rId77"/>
    <sheet state="visible" name="NEU-URAN BSU LINE" sheetId="74" r:id="rId78"/>
    <sheet state="visible" name="NEU-URAN PSR" sheetId="75" r:id="rId79"/>
    <sheet state="visible" name="NEU-URAN STATION" sheetId="76" r:id="rId80"/>
    <sheet state="visible" name="BEPR-URAN" sheetId="77" r:id="rId81"/>
    <sheet state="visible" name="BEPR-URAN PSU" sheetId="78" r:id="rId82"/>
    <sheet state="visible" name="BEPR-URAN STATION" sheetId="79" r:id="rId83"/>
    <sheet state="visible" name="URAN-BEPR" sheetId="80" r:id="rId84"/>
    <sheet state="visible" name="URAN-BEPR PSU" sheetId="81" r:id="rId85"/>
    <sheet state="visible" name="URAN-BEPR STATION" sheetId="82" r:id="rId86"/>
    <sheet state="visible" name="Station UP TH" sheetId="83" r:id="rId87"/>
    <sheet state="visible" name="Station DN LL" sheetId="84" r:id="rId88"/>
    <sheet state="visible" name="Station UP LL" sheetId="85" r:id="rId89"/>
    <sheet state="visible" name="PSR-UP TH" sheetId="86" r:id="rId90"/>
    <sheet state="visible" name="PNVL-JNPT" sheetId="87" r:id="rId91"/>
    <sheet state="visible" name="JNPT-PNVL" sheetId="88" r:id="rId92"/>
    <sheet state="visible" name="VDLR-GMN DN HB" sheetId="89" r:id="rId93"/>
    <sheet state="visible" name="VDLR-GMN DN STATIONS" sheetId="90" r:id="rId94"/>
    <sheet state="visible" name="VDLR-GMN PSR" sheetId="91" r:id="rId95"/>
    <sheet state="visible" name="GMN-VDLR UP HB" sheetId="92" r:id="rId96"/>
    <sheet state="visible" name="GMN-VDLR UP STATIONS" sheetId="93" r:id="rId97"/>
    <sheet state="visible" name="GMN-VDLR PSR" sheetId="94" r:id="rId98"/>
    <sheet state="visible" name="Sheet7" sheetId="95" r:id="rId99"/>
    <sheet state="visible" name="Sheet64" sheetId="96" r:id="rId100"/>
    <sheet state="visible" name="KJT-KHPI DN LINE" sheetId="97" r:id="rId101"/>
    <sheet state="visible" name="KHPI-KJT UP LINE" sheetId="98" r:id="rId102"/>
    <sheet state="visible" name="PSR KJT-KHPI" sheetId="99" r:id="rId103"/>
    <sheet state="visible" name="STATIONS KJT-KHPI" sheetId="100" r:id="rId104"/>
    <sheet state="visible" name="PSR KHPI-KJT" sheetId="101" r:id="rId105"/>
    <sheet state="visible" name="STATIONS KHPI-KJT" sheetId="102" r:id="rId106"/>
    <sheet state="visible" name="IGP-MMR" sheetId="103" r:id="rId107"/>
    <sheet state="visible" name="PSR IGP-MMR" sheetId="104" r:id="rId108"/>
    <sheet state="visible" name="STATIONS IGP-MMR" sheetId="105" r:id="rId109"/>
    <sheet state="visible" name="MMR-IGP" sheetId="106" r:id="rId110"/>
    <sheet state="visible" name="PSR MMR-IGP" sheetId="107" r:id="rId111"/>
    <sheet state="visible" name="STATIONS MMR-IGP" sheetId="108" r:id="rId112"/>
    <sheet state="visible" name="MMR-JL" sheetId="109" r:id="rId113"/>
    <sheet state="visible" name="PSR MMR-JL" sheetId="110" r:id="rId114"/>
    <sheet state="visible" name="STATIONS MMR-JL" sheetId="111" r:id="rId115"/>
    <sheet state="visible" name="JL-MMR" sheetId="112" r:id="rId116"/>
    <sheet state="visible" name="PSR JL-MMR" sheetId="113" r:id="rId117"/>
    <sheet state="visible" name="STATIONS JL-MMR" sheetId="114" r:id="rId118"/>
    <sheet state="visible" name="LNL-PA" sheetId="115" r:id="rId119"/>
    <sheet state="visible" name="PSR LNL-PA" sheetId="116" r:id="rId120"/>
    <sheet state="visible" name="STATIONS LNL-PA" sheetId="117" r:id="rId121"/>
    <sheet state="visible" name="PA-LNL" sheetId="118" r:id="rId122"/>
    <sheet state="visible" name="PSR PA-LNL" sheetId="119" r:id="rId123"/>
    <sheet state="visible" name="STATIONS PA-LNL" sheetId="120" r:id="rId124"/>
  </sheets>
  <definedNames>
    <definedName hidden="1" localSheetId="3" name="_xlnm._FilterDatabase">'UP TH'!$O$1:$O$125</definedName>
  </definedNames>
  <calcPr/>
</workbook>
</file>

<file path=xl/sharedStrings.xml><?xml version="1.0" encoding="utf-8"?>
<sst xmlns="http://schemas.openxmlformats.org/spreadsheetml/2006/main" count="23381" uniqueCount="4239">
  <si>
    <t>SECTION</t>
  </si>
  <si>
    <t>Signal</t>
  </si>
  <si>
    <t>PSR</t>
  </si>
  <si>
    <t>Station names</t>
  </si>
  <si>
    <t>REMARKS</t>
  </si>
  <si>
    <t>DN TH</t>
  </si>
  <si>
    <t>✅</t>
  </si>
  <si>
    <t>UP TH</t>
  </si>
  <si>
    <t>DN LL</t>
  </si>
  <si>
    <t>UP LL</t>
  </si>
  <si>
    <t>DN HB</t>
  </si>
  <si>
    <t>UP HB</t>
  </si>
  <si>
    <t>DN THB</t>
  </si>
  <si>
    <t>UP THB</t>
  </si>
  <si>
    <t>DN SE</t>
  </si>
  <si>
    <t>UP SE</t>
  </si>
  <si>
    <t>DN NE</t>
  </si>
  <si>
    <t>UP NE</t>
  </si>
  <si>
    <t>NEU-URAN</t>
  </si>
  <si>
    <t>URAN-NEU</t>
  </si>
  <si>
    <t>BEPR-NEU</t>
  </si>
  <si>
    <t>NEU-BEPR</t>
  </si>
  <si>
    <t>GMN-VDLR</t>
  </si>
  <si>
    <t>VDLR-GMN</t>
  </si>
  <si>
    <t>PNVL-JNPT</t>
  </si>
  <si>
    <t>JNPT-PNVL</t>
  </si>
  <si>
    <t>PEN-THAL</t>
  </si>
  <si>
    <t>THAL-PEN</t>
  </si>
  <si>
    <t>DW-RH</t>
  </si>
  <si>
    <t>RH-DW</t>
  </si>
  <si>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</si>
  <si>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</si>
  <si>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</si>
  <si>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</si>
  <si>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</si>
  <si>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</si>
  <si>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</si>
  <si>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</si>
  <si>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</si>
  <si>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</si>
  <si>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</si>
  <si>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</si>
  <si>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</si>
  <si>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</si>
  <si>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</si>
  <si>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</si>
  <si>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</si>
  <si>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</si>
  <si>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</si>
  <si>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</si>
  <si>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</si>
  <si>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</si>
  <si>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</si>
  <si>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</si>
  <si>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</si>
  <si>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</si>
  <si>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</si>
  <si>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</si>
  <si>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</si>
  <si>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</si>
  <si>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</si>
  <si>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CSMT S-3</t>
  </si>
  <si>
    <t>CSMT</t>
  </si>
  <si>
    <t>CSMT-KYN</t>
  </si>
  <si>
    <t>DN</t>
  </si>
  <si>
    <t>PF-3 STR</t>
  </si>
  <si>
    <t>Semi-Automatic</t>
  </si>
  <si>
    <t>Left</t>
  </si>
  <si>
    <t>Unknown</t>
  </si>
  <si>
    <t>RI: L1=H-03;R1=S-45</t>
  </si>
  <si>
    <t>Book shows one left and one right arm on top of vertical stem</t>
  </si>
  <si>
    <t>CSMT S-4</t>
  </si>
  <si>
    <t>PF-4 STR</t>
  </si>
  <si>
    <t>RI: L1=L-001 ; L2=H-03;R1=S-45</t>
  </si>
  <si>
    <t>Book shows two left  and one right arm on top of vertical stem</t>
  </si>
  <si>
    <t>CSMT S-5</t>
  </si>
  <si>
    <t>PF-5 STR</t>
  </si>
  <si>
    <t>RI: L1=L-001 ; L2=H-03</t>
  </si>
  <si>
    <t>Book shows two left arms on top of vertical stem</t>
  </si>
  <si>
    <t>CSMT S-6</t>
  </si>
  <si>
    <t>PF-6 STR</t>
  </si>
  <si>
    <t>Right</t>
  </si>
  <si>
    <t>RI: L1=S-45 ; L2=L-001;L3=H-03;MAIN=S-45</t>
  </si>
  <si>
    <t>Book shows three left arms on top of vertical stem</t>
  </si>
  <si>
    <t>CSMT S-7</t>
  </si>
  <si>
    <t>PF-7 STR</t>
  </si>
  <si>
    <t>CSMT S-45</t>
  </si>
  <si>
    <t>0/01</t>
  </si>
  <si>
    <t>CSMT S-56</t>
  </si>
  <si>
    <t>0/03</t>
  </si>
  <si>
    <t>MZN S-5</t>
  </si>
  <si>
    <t>MZN</t>
  </si>
  <si>
    <t>Mazgaon</t>
  </si>
  <si>
    <t>01/308</t>
  </si>
  <si>
    <t>MZN S-2</t>
  </si>
  <si>
    <t>01/338</t>
  </si>
  <si>
    <t>RI: R1=MZN YD</t>
  </si>
  <si>
    <t>Book shows one right arm on top of vertical stem</t>
  </si>
  <si>
    <t>MZN S-1</t>
  </si>
  <si>
    <t>02/302</t>
  </si>
  <si>
    <t>K-007</t>
  </si>
  <si>
    <t>2/332</t>
  </si>
  <si>
    <t>Automatic</t>
  </si>
  <si>
    <t>BY S-1</t>
  </si>
  <si>
    <t>BY</t>
  </si>
  <si>
    <t>Byculla</t>
  </si>
  <si>
    <t>3/304</t>
  </si>
  <si>
    <t>BY S-2</t>
  </si>
  <si>
    <t>3/348</t>
  </si>
  <si>
    <t>BY S-25 REP</t>
  </si>
  <si>
    <t>ON BY PF-3</t>
  </si>
  <si>
    <t>Repeater</t>
  </si>
  <si>
    <t>BY S-25</t>
  </si>
  <si>
    <t>4/314</t>
  </si>
  <si>
    <t>RI: L1=DN LL  BY S-29</t>
  </si>
  <si>
    <t>Book shows one left arm on top of vertical stem</t>
  </si>
  <si>
    <t>Repeater Signal Provided</t>
  </si>
  <si>
    <t>K-009</t>
  </si>
  <si>
    <t>4/350</t>
  </si>
  <si>
    <t>Extreme Right</t>
  </si>
  <si>
    <t>BY S-46</t>
  </si>
  <si>
    <t>5/306</t>
  </si>
  <si>
    <t>BY S-51</t>
  </si>
  <si>
    <t>5/328</t>
  </si>
  <si>
    <t>K-013</t>
  </si>
  <si>
    <t>5/342</t>
  </si>
  <si>
    <t>K-015</t>
  </si>
  <si>
    <t>6/314</t>
  </si>
  <si>
    <t>PR S-2</t>
  </si>
  <si>
    <t>PR</t>
  </si>
  <si>
    <t>Parel</t>
  </si>
  <si>
    <t>07/01A</t>
  </si>
  <si>
    <t>PR S-20</t>
  </si>
  <si>
    <t>7/322</t>
  </si>
  <si>
    <t>PR S-22</t>
  </si>
  <si>
    <t>7/340</t>
  </si>
  <si>
    <t>DR S-2</t>
  </si>
  <si>
    <t>DR</t>
  </si>
  <si>
    <t>Dadar</t>
  </si>
  <si>
    <t>8/308</t>
  </si>
  <si>
    <t>RI: R1=PF-11</t>
  </si>
  <si>
    <t>DR S-5</t>
  </si>
  <si>
    <t>8/330</t>
  </si>
  <si>
    <t>DR S-8</t>
  </si>
  <si>
    <t>PF-10 STR</t>
  </si>
  <si>
    <t>9/302</t>
  </si>
  <si>
    <t>RI: L1=DR Loop</t>
  </si>
  <si>
    <t>DR S-9</t>
  </si>
  <si>
    <t>PF-11 STR</t>
  </si>
  <si>
    <t>DR S-15</t>
  </si>
  <si>
    <t>9/332</t>
  </si>
  <si>
    <t>DR S-17</t>
  </si>
  <si>
    <t>9/346</t>
  </si>
  <si>
    <t>DR S-21</t>
  </si>
  <si>
    <t>MTN PF-3 STR</t>
  </si>
  <si>
    <t>10/316</t>
  </si>
  <si>
    <t>RI: L1=DN LL L-035</t>
  </si>
  <si>
    <t>K-017</t>
  </si>
  <si>
    <t>10/350</t>
  </si>
  <si>
    <t>K-017 A</t>
  </si>
  <si>
    <t>11/312</t>
  </si>
  <si>
    <t>K-019</t>
  </si>
  <si>
    <t>11/330</t>
  </si>
  <si>
    <t>K-021</t>
  </si>
  <si>
    <t>12/304</t>
  </si>
  <si>
    <t>K-021A</t>
  </si>
  <si>
    <t>12/320</t>
  </si>
  <si>
    <t>K-023</t>
  </si>
  <si>
    <t>SION</t>
  </si>
  <si>
    <t>SION PF-3 STR</t>
  </si>
  <si>
    <t>12/336</t>
  </si>
  <si>
    <t>CLA S-4</t>
  </si>
  <si>
    <t>CLA</t>
  </si>
  <si>
    <t>Kurla</t>
  </si>
  <si>
    <t>13/328</t>
  </si>
  <si>
    <t>RI: R1=DN HB S-4</t>
  </si>
  <si>
    <t>K-025</t>
  </si>
  <si>
    <t>14/320</t>
  </si>
  <si>
    <t>Gantry</t>
  </si>
  <si>
    <t>K-025 A</t>
  </si>
  <si>
    <t>15/302</t>
  </si>
  <si>
    <t>CLA S-11</t>
  </si>
  <si>
    <t>15/324</t>
  </si>
  <si>
    <t>K-027</t>
  </si>
  <si>
    <t>15/348</t>
  </si>
  <si>
    <t>K-029</t>
  </si>
  <si>
    <t>16/320</t>
  </si>
  <si>
    <t>K-031</t>
  </si>
  <si>
    <t>16/338</t>
  </si>
  <si>
    <t>VVH S-6</t>
  </si>
  <si>
    <t>17/318</t>
  </si>
  <si>
    <t>RI:R1=5th line S-32</t>
  </si>
  <si>
    <t>VVH S-27</t>
  </si>
  <si>
    <t>17/340</t>
  </si>
  <si>
    <t>RI: L1=DN LL L-055</t>
  </si>
  <si>
    <t>VVH S-37</t>
  </si>
  <si>
    <t>18/326</t>
  </si>
  <si>
    <t>VVH S-49</t>
  </si>
  <si>
    <t>18/348</t>
  </si>
  <si>
    <t>K-035 REP</t>
  </si>
  <si>
    <t>ON GC PF-3</t>
  </si>
  <si>
    <t>K-035</t>
  </si>
  <si>
    <t>19/314</t>
  </si>
  <si>
    <t xml:space="preserve">Repeater Signal Provided </t>
  </si>
  <si>
    <t>K-037</t>
  </si>
  <si>
    <t>19/348</t>
  </si>
  <si>
    <t>K-039</t>
  </si>
  <si>
    <t>20/318</t>
  </si>
  <si>
    <t>K-041</t>
  </si>
  <si>
    <t>20/340</t>
  </si>
  <si>
    <t>K-041 A</t>
  </si>
  <si>
    <t>21/316</t>
  </si>
  <si>
    <t>K-043</t>
  </si>
  <si>
    <t>21/332</t>
  </si>
  <si>
    <t>VK S-2</t>
  </si>
  <si>
    <t>VK</t>
  </si>
  <si>
    <t>Vikhroli</t>
  </si>
  <si>
    <t>22/306</t>
  </si>
  <si>
    <t>VK S-5 REP</t>
  </si>
  <si>
    <t>ON VK PF-3</t>
  </si>
  <si>
    <t>VK S-5</t>
  </si>
  <si>
    <t>VK PF-3 STR</t>
  </si>
  <si>
    <t>22/348</t>
  </si>
  <si>
    <t>K-047</t>
  </si>
  <si>
    <t>23/310</t>
  </si>
  <si>
    <t>K-047 A</t>
  </si>
  <si>
    <t>23/332</t>
  </si>
  <si>
    <t>K-049</t>
  </si>
  <si>
    <t>24/320</t>
  </si>
  <si>
    <t>K-051</t>
  </si>
  <si>
    <t>24/340</t>
  </si>
  <si>
    <t>K-053</t>
  </si>
  <si>
    <t>25/314</t>
  </si>
  <si>
    <t>K-053 A</t>
  </si>
  <si>
    <t>25/330</t>
  </si>
  <si>
    <t>BND S-2</t>
  </si>
  <si>
    <t>BND</t>
  </si>
  <si>
    <t>Bhandup</t>
  </si>
  <si>
    <t>26/308</t>
  </si>
  <si>
    <t>BND S-17</t>
  </si>
  <si>
    <t>BND-PF-3 STR</t>
  </si>
  <si>
    <t>26/328</t>
  </si>
  <si>
    <t>RI: L1=BND Loop S-28</t>
  </si>
  <si>
    <t>BND S-27</t>
  </si>
  <si>
    <t>27/314</t>
  </si>
  <si>
    <t>K-2715</t>
  </si>
  <si>
    <t>27/338</t>
  </si>
  <si>
    <t>K-055</t>
  </si>
  <si>
    <t>28/324</t>
  </si>
  <si>
    <t>K-057</t>
  </si>
  <si>
    <t>29/306</t>
  </si>
  <si>
    <t>MLND S-3</t>
  </si>
  <si>
    <t>MLND</t>
  </si>
  <si>
    <t>Mulund</t>
  </si>
  <si>
    <t>29/324</t>
  </si>
  <si>
    <t>MLND S-6</t>
  </si>
  <si>
    <t>MLND-PF-3 STR</t>
  </si>
  <si>
    <t>30/332</t>
  </si>
  <si>
    <t>RI: L1=DN LL L-097</t>
  </si>
  <si>
    <t>K-059</t>
  </si>
  <si>
    <t>31/312</t>
  </si>
  <si>
    <t>TNA S-4</t>
  </si>
  <si>
    <t>TNA</t>
  </si>
  <si>
    <t>Thane</t>
  </si>
  <si>
    <t>31/332</t>
  </si>
  <si>
    <t>RI: R1=PF-7; R2= PF-8;R3=THB S-47</t>
  </si>
  <si>
    <t>Book shows three right arms on top of vertical stem</t>
  </si>
  <si>
    <t>TNA S-18</t>
  </si>
  <si>
    <t>32/330</t>
  </si>
  <si>
    <t>RI:L1=TNA PF-4</t>
  </si>
  <si>
    <t>TNA S-51</t>
  </si>
  <si>
    <t>32/354</t>
  </si>
  <si>
    <t>TNA S-71</t>
  </si>
  <si>
    <t>TNA-PF-5 STR</t>
  </si>
  <si>
    <t>33/314</t>
  </si>
  <si>
    <t>TNA S-75</t>
  </si>
  <si>
    <t>33/328</t>
  </si>
  <si>
    <t>RI:L1=DN LL L-3403</t>
  </si>
  <si>
    <t>K-3403</t>
  </si>
  <si>
    <t>34/306A</t>
  </si>
  <si>
    <t>K-3409</t>
  </si>
  <si>
    <t>34/324</t>
  </si>
  <si>
    <t>K-3501</t>
  </si>
  <si>
    <t>35/302</t>
  </si>
  <si>
    <t>K-3507</t>
  </si>
  <si>
    <t>35/320</t>
  </si>
  <si>
    <t>K-3513</t>
  </si>
  <si>
    <t>KLVA-PF-3 STR</t>
  </si>
  <si>
    <t>35/332A</t>
  </si>
  <si>
    <t>K-3601</t>
  </si>
  <si>
    <t>36/306</t>
  </si>
  <si>
    <t>K-3609</t>
  </si>
  <si>
    <t>K-3703</t>
  </si>
  <si>
    <t>37/310</t>
  </si>
  <si>
    <t>K-3711</t>
  </si>
  <si>
    <t>37/336</t>
  </si>
  <si>
    <t>K-3803</t>
  </si>
  <si>
    <t>38/310</t>
  </si>
  <si>
    <t>K-3809</t>
  </si>
  <si>
    <t>38/330</t>
  </si>
  <si>
    <t>K-3905</t>
  </si>
  <si>
    <t>39/306</t>
  </si>
  <si>
    <t>K-3911</t>
  </si>
  <si>
    <t>39/322</t>
  </si>
  <si>
    <t>K-4001 REP</t>
  </si>
  <si>
    <t>ON MBQ PF-3</t>
  </si>
  <si>
    <t>K-4001</t>
  </si>
  <si>
    <t>MBQ-PF-3 STR</t>
  </si>
  <si>
    <t>40/304</t>
  </si>
  <si>
    <t>K-4017</t>
  </si>
  <si>
    <t>40/332</t>
  </si>
  <si>
    <t>DW S-3</t>
  </si>
  <si>
    <t>DIVA</t>
  </si>
  <si>
    <t>41/306</t>
  </si>
  <si>
    <t>RI: R1=5th line S-8;R2= DW S-9</t>
  </si>
  <si>
    <t>Book shows two right arms on top of vertical stem</t>
  </si>
  <si>
    <t>DW S-7</t>
  </si>
  <si>
    <t>41/332</t>
  </si>
  <si>
    <t>DW S-14</t>
  </si>
  <si>
    <t>DW-PF-3 STR</t>
  </si>
  <si>
    <t>42/328</t>
  </si>
  <si>
    <t>RI:L1=DN LL L-4307</t>
  </si>
  <si>
    <t>K-4301</t>
  </si>
  <si>
    <t>43/308</t>
  </si>
  <si>
    <t>DCC S-9</t>
  </si>
  <si>
    <t>43/326</t>
  </si>
  <si>
    <t>K-4401</t>
  </si>
  <si>
    <t>43/304</t>
  </si>
  <si>
    <t>K-4407</t>
  </si>
  <si>
    <t>44/318</t>
  </si>
  <si>
    <t>K-4413</t>
  </si>
  <si>
    <t>44/332</t>
  </si>
  <si>
    <t>K-4507</t>
  </si>
  <si>
    <t>45/308</t>
  </si>
  <si>
    <t>K-4509</t>
  </si>
  <si>
    <t>45/320</t>
  </si>
  <si>
    <t>K-4515</t>
  </si>
  <si>
    <t>45/330</t>
  </si>
  <si>
    <t>K-4613</t>
  </si>
  <si>
    <t>46/322</t>
  </si>
  <si>
    <t>K-4705</t>
  </si>
  <si>
    <t>47/308</t>
  </si>
  <si>
    <t>DI S-29</t>
  </si>
  <si>
    <t>DI</t>
  </si>
  <si>
    <t>Dombivli</t>
  </si>
  <si>
    <t>47/320</t>
  </si>
  <si>
    <t>DI S-39</t>
  </si>
  <si>
    <t>DI-PF-4 STR</t>
  </si>
  <si>
    <t>48/312</t>
  </si>
  <si>
    <t>K-4815</t>
  </si>
  <si>
    <t>48/332</t>
  </si>
  <si>
    <t>K-4903</t>
  </si>
  <si>
    <t>49/312</t>
  </si>
  <si>
    <t>K-4913</t>
  </si>
  <si>
    <t>49/340</t>
  </si>
  <si>
    <t>K-5003</t>
  </si>
  <si>
    <t>50/308</t>
  </si>
  <si>
    <t>K-5011</t>
  </si>
  <si>
    <t>50/322</t>
  </si>
  <si>
    <t>KYN S-3</t>
  </si>
  <si>
    <t>KYN</t>
  </si>
  <si>
    <t>Kalyan</t>
  </si>
  <si>
    <t>51/502</t>
  </si>
  <si>
    <t>RI: R1=5th line S-9;R2= KYN YD</t>
  </si>
  <si>
    <t>KYN S-12</t>
  </si>
  <si>
    <t>51/540</t>
  </si>
  <si>
    <t>RI: L1= DN LL S-32;L2= KYN S-28</t>
  </si>
  <si>
    <t>KYN S-13</t>
  </si>
  <si>
    <t>52/322</t>
  </si>
  <si>
    <t>RI: L1=Bypass Line S-55; R1=PF5 ;R2=S-25</t>
  </si>
  <si>
    <t>Book shows one left and two right arm on top of vertical stem</t>
  </si>
  <si>
    <t>KYN S-46</t>
  </si>
  <si>
    <t>ON PF-4</t>
  </si>
  <si>
    <t>52/350</t>
  </si>
  <si>
    <t>KYN S-56</t>
  </si>
  <si>
    <t>53/314</t>
  </si>
  <si>
    <t>RI: L1=NE KYN S -72 ; Y=SE</t>
  </si>
  <si>
    <t>station_header</t>
  </si>
  <si>
    <t>before_signal</t>
  </si>
  <si>
    <t>Byculla  (BY) 4.04KM</t>
  </si>
  <si>
    <t>Parel (PR) 7.65KM</t>
  </si>
  <si>
    <t>Dadar (DR) 8.85KM</t>
  </si>
  <si>
    <t>Matunga (MTN) 10.12KM</t>
  </si>
  <si>
    <t>Sion (SION) 12.71KM</t>
  </si>
  <si>
    <t>Kurla (CLA) 15.39KM</t>
  </si>
  <si>
    <t>Ghatkopar (GC) 19.30KM</t>
  </si>
  <si>
    <t>Vikhroli (VK) 22.85KM</t>
  </si>
  <si>
    <t>VK S-05</t>
  </si>
  <si>
    <t>Bhandup (BND) 25.56KM</t>
  </si>
  <si>
    <t>Mulund (MLND) 30.56KM</t>
  </si>
  <si>
    <t>Thane (TNA) 33.02KM</t>
  </si>
  <si>
    <t>Kalva (KLVA) 33.45KM</t>
  </si>
  <si>
    <t>Mumbra (MBQ) 40.01KM</t>
  </si>
  <si>
    <t>Diva (DIVA) 42.30KM</t>
  </si>
  <si>
    <t>Dombivali (DI) 48.06KM</t>
  </si>
  <si>
    <t>Kalyan (KYN) 53.21KM</t>
  </si>
  <si>
    <t>KYN S-47</t>
  </si>
  <si>
    <t>UP</t>
  </si>
  <si>
    <t>MID PF-4</t>
  </si>
  <si>
    <t>52/447</t>
  </si>
  <si>
    <t>KYN S-38</t>
  </si>
  <si>
    <t>52/439</t>
  </si>
  <si>
    <t>RI: L1= S-8; L2= S-21</t>
  </si>
  <si>
    <t>KYN S-48</t>
  </si>
  <si>
    <t>MID PF-5</t>
  </si>
  <si>
    <t>52/445</t>
  </si>
  <si>
    <t>KYN S-39</t>
  </si>
  <si>
    <t>52/437</t>
  </si>
  <si>
    <t>KYN S-41</t>
  </si>
  <si>
    <t>52/441</t>
  </si>
  <si>
    <t>RI: L1= S-21; R1= S-19</t>
  </si>
  <si>
    <t>Book shows one left and one right arms on top of vertical stem</t>
  </si>
  <si>
    <t>KYN S-42</t>
  </si>
  <si>
    <t>RI:R1= S-19</t>
  </si>
  <si>
    <t>KYN S-19</t>
  </si>
  <si>
    <t>52/13</t>
  </si>
  <si>
    <t>RI:L1= S-21</t>
  </si>
  <si>
    <t>KYN S-8</t>
  </si>
  <si>
    <t>51/431</t>
  </si>
  <si>
    <t>RI:R1= UP/LL</t>
  </si>
  <si>
    <t>K-5102</t>
  </si>
  <si>
    <t>51/403</t>
  </si>
  <si>
    <t>K-5008</t>
  </si>
  <si>
    <t>50/421</t>
  </si>
  <si>
    <t>K-5002</t>
  </si>
  <si>
    <t>50/405</t>
  </si>
  <si>
    <t>K-4910</t>
  </si>
  <si>
    <t>49/435</t>
  </si>
  <si>
    <t>K-4902</t>
  </si>
  <si>
    <t>49/409</t>
  </si>
  <si>
    <t>K-4814</t>
  </si>
  <si>
    <t>48/435</t>
  </si>
  <si>
    <t>DI S-41</t>
  </si>
  <si>
    <t>48/413</t>
  </si>
  <si>
    <t>DI S-33</t>
  </si>
  <si>
    <t>RI:L1= S-18</t>
  </si>
  <si>
    <t>K-4708</t>
  </si>
  <si>
    <t>47/415</t>
  </si>
  <si>
    <t>K-4702</t>
  </si>
  <si>
    <t>47/403</t>
  </si>
  <si>
    <t>K-4610</t>
  </si>
  <si>
    <t>46/417</t>
  </si>
  <si>
    <t>K-4512</t>
  </si>
  <si>
    <t>45/427</t>
  </si>
  <si>
    <t>K-4508</t>
  </si>
  <si>
    <t>45/415</t>
  </si>
  <si>
    <t>K-4502</t>
  </si>
  <si>
    <t>45/403</t>
  </si>
  <si>
    <t>K-4410</t>
  </si>
  <si>
    <t>44/427</t>
  </si>
  <si>
    <t>K-4404</t>
  </si>
  <si>
    <t>44/413</t>
  </si>
  <si>
    <t>K-4314</t>
  </si>
  <si>
    <t>43/435</t>
  </si>
  <si>
    <t>K-4308</t>
  </si>
  <si>
    <t>43/423</t>
  </si>
  <si>
    <t>DW S-67</t>
  </si>
  <si>
    <t>43/405</t>
  </si>
  <si>
    <t>DW S-65</t>
  </si>
  <si>
    <t>42/435</t>
  </si>
  <si>
    <t>DW S-54</t>
  </si>
  <si>
    <t>42/37</t>
  </si>
  <si>
    <t>DW S-49</t>
  </si>
  <si>
    <t>41/431</t>
  </si>
  <si>
    <t>RI:L1= S-47; R1= S-45</t>
  </si>
  <si>
    <t>DW S-46</t>
  </si>
  <si>
    <t>41/415</t>
  </si>
  <si>
    <t>K-4020</t>
  </si>
  <si>
    <t>40/439</t>
  </si>
  <si>
    <t>K-4014</t>
  </si>
  <si>
    <t>40/423 A</t>
  </si>
  <si>
    <t>K-3912</t>
  </si>
  <si>
    <t>39/425</t>
  </si>
  <si>
    <t>K-3904</t>
  </si>
  <si>
    <t>39/407</t>
  </si>
  <si>
    <t>K-3810</t>
  </si>
  <si>
    <t>38/427</t>
  </si>
  <si>
    <t>K-3804</t>
  </si>
  <si>
    <t>38/409</t>
  </si>
  <si>
    <t>K-3712</t>
  </si>
  <si>
    <t>37/437 A</t>
  </si>
  <si>
    <t>K-3704</t>
  </si>
  <si>
    <t>37/411</t>
  </si>
  <si>
    <t>K-3604</t>
  </si>
  <si>
    <t>36/429</t>
  </si>
  <si>
    <t>K-3514</t>
  </si>
  <si>
    <t>35/435 A</t>
  </si>
  <si>
    <t>K-3506</t>
  </si>
  <si>
    <t>35/419A</t>
  </si>
  <si>
    <t>K-3414</t>
  </si>
  <si>
    <t>34/447</t>
  </si>
  <si>
    <t>K-3408</t>
  </si>
  <si>
    <t>34/429</t>
  </si>
  <si>
    <t>TNA S-90</t>
  </si>
  <si>
    <t>34/405A</t>
  </si>
  <si>
    <t>RI:L1= PF-7; L2= S-83</t>
  </si>
  <si>
    <t>TNA S-82</t>
  </si>
  <si>
    <t>33/341</t>
  </si>
  <si>
    <t>TNA S-65</t>
  </si>
  <si>
    <t>KYN-CSMT</t>
  </si>
  <si>
    <t>PF-6  KYN END</t>
  </si>
  <si>
    <t>TNA S-46</t>
  </si>
  <si>
    <t>TNA S-45</t>
  </si>
  <si>
    <t>PF-5 UP STR</t>
  </si>
  <si>
    <t>TNA S-11</t>
  </si>
  <si>
    <t>32/411</t>
  </si>
  <si>
    <t>MLND S-16</t>
  </si>
  <si>
    <t>31/409</t>
  </si>
  <si>
    <t>RI:R1= UP LL</t>
  </si>
  <si>
    <t>K-056</t>
  </si>
  <si>
    <t>30/429</t>
  </si>
  <si>
    <t>MLND S-11</t>
  </si>
  <si>
    <t>PF STR</t>
  </si>
  <si>
    <t>RI:L1= 6TH LINE; L2= NGSM</t>
  </si>
  <si>
    <t>K-054</t>
  </si>
  <si>
    <t>29/427</t>
  </si>
  <si>
    <t>K-052</t>
  </si>
  <si>
    <t>29/407</t>
  </si>
  <si>
    <t>K-2808</t>
  </si>
  <si>
    <t>28/423</t>
  </si>
  <si>
    <t>K-050</t>
  </si>
  <si>
    <t>27/439</t>
  </si>
  <si>
    <t>K-048</t>
  </si>
  <si>
    <t>27/419</t>
  </si>
  <si>
    <t>BND S-24</t>
  </si>
  <si>
    <t>27/401</t>
  </si>
  <si>
    <t>K-046</t>
  </si>
  <si>
    <t>26/417</t>
  </si>
  <si>
    <t>K-2514</t>
  </si>
  <si>
    <t>25/441</t>
  </si>
  <si>
    <t>K-044 A</t>
  </si>
  <si>
    <t>25/421</t>
  </si>
  <si>
    <t>K-044</t>
  </si>
  <si>
    <t>25/405</t>
  </si>
  <si>
    <t>K-042</t>
  </si>
  <si>
    <t>24/425</t>
  </si>
  <si>
    <t>VK S-30</t>
  </si>
  <si>
    <t>23/435</t>
  </si>
  <si>
    <t>VK S-25</t>
  </si>
  <si>
    <t>23/417</t>
  </si>
  <si>
    <t>VK S-22</t>
  </si>
  <si>
    <t>22/431</t>
  </si>
  <si>
    <t>K-038</t>
  </si>
  <si>
    <t>22/413</t>
  </si>
  <si>
    <t>K-036</t>
  </si>
  <si>
    <t>21/437</t>
  </si>
  <si>
    <t>K-036A</t>
  </si>
  <si>
    <t>21/421</t>
  </si>
  <si>
    <t>K-034</t>
  </si>
  <si>
    <t>21/413</t>
  </si>
  <si>
    <t>K-032</t>
  </si>
  <si>
    <t>20/429</t>
  </si>
  <si>
    <t>K-030</t>
  </si>
  <si>
    <t>20/407</t>
  </si>
  <si>
    <t>K-028</t>
  </si>
  <si>
    <t>19/429</t>
  </si>
  <si>
    <t>K-026</t>
  </si>
  <si>
    <t>18/457</t>
  </si>
  <si>
    <t>VVH S-42</t>
  </si>
  <si>
    <t>VVH</t>
  </si>
  <si>
    <t>Vidya Vihar</t>
  </si>
  <si>
    <t>18/437</t>
  </si>
  <si>
    <t>RI:L1= LOOP; L2= S-103; L3= S-36</t>
  </si>
  <si>
    <t>VVH S-34</t>
  </si>
  <si>
    <t>18/413</t>
  </si>
  <si>
    <t>VVH S-9</t>
  </si>
  <si>
    <t>17/427</t>
  </si>
  <si>
    <t>VVH S-3</t>
  </si>
  <si>
    <t>17/409</t>
  </si>
  <si>
    <t>K-024</t>
  </si>
  <si>
    <t>16/429</t>
  </si>
  <si>
    <t>K-024A</t>
  </si>
  <si>
    <t>16/415</t>
  </si>
  <si>
    <t>K-024B</t>
  </si>
  <si>
    <t>15/437</t>
  </si>
  <si>
    <t>CLA S-43 REP</t>
  </si>
  <si>
    <t>ON CLA PF-6</t>
  </si>
  <si>
    <t>CLA S-43</t>
  </si>
  <si>
    <t>15/409</t>
  </si>
  <si>
    <t>CLA S-47</t>
  </si>
  <si>
    <t>14/421</t>
  </si>
  <si>
    <t>K-022</t>
  </si>
  <si>
    <t>14/401</t>
  </si>
  <si>
    <t>K-020</t>
  </si>
  <si>
    <t>13/413</t>
  </si>
  <si>
    <t>K-018</t>
  </si>
  <si>
    <t>12/425</t>
  </si>
  <si>
    <t>K-016</t>
  </si>
  <si>
    <t>12/411</t>
  </si>
  <si>
    <t>K-016A</t>
  </si>
  <si>
    <t>11/439</t>
  </si>
  <si>
    <t>K-014</t>
  </si>
  <si>
    <t>11/423</t>
  </si>
  <si>
    <t>DR S-28</t>
  </si>
  <si>
    <t>11/407</t>
  </si>
  <si>
    <t>RI:R1= L-036; R2= DR YD</t>
  </si>
  <si>
    <t>DR S-29</t>
  </si>
  <si>
    <t>10/431</t>
  </si>
  <si>
    <t>DR S-32</t>
  </si>
  <si>
    <t>RI:L1= UP LOOP; L2= DR(T)</t>
  </si>
  <si>
    <t>DR S-35</t>
  </si>
  <si>
    <t>9/433</t>
  </si>
  <si>
    <t>DR S-37</t>
  </si>
  <si>
    <t>9/417</t>
  </si>
  <si>
    <t>RI:R1= PF-11</t>
  </si>
  <si>
    <t>DR S-42</t>
  </si>
  <si>
    <t>8/433</t>
  </si>
  <si>
    <t>DR S-45</t>
  </si>
  <si>
    <t>8/423</t>
  </si>
  <si>
    <t>DR S-44</t>
  </si>
  <si>
    <t>K-012</t>
  </si>
  <si>
    <t>8/413</t>
  </si>
  <si>
    <t>PR S-29</t>
  </si>
  <si>
    <t>8/401</t>
  </si>
  <si>
    <t>PR S-11</t>
  </si>
  <si>
    <t>7/429</t>
  </si>
  <si>
    <t>PR S-14</t>
  </si>
  <si>
    <t>6/439</t>
  </si>
  <si>
    <t>PR S-13</t>
  </si>
  <si>
    <t>6/411</t>
  </si>
  <si>
    <t>BY S-49</t>
  </si>
  <si>
    <t>5/429</t>
  </si>
  <si>
    <t>RI:L1= BY YD</t>
  </si>
  <si>
    <t>BY S-41</t>
  </si>
  <si>
    <t>5/401</t>
  </si>
  <si>
    <t>BY S-34</t>
  </si>
  <si>
    <t>4/449</t>
  </si>
  <si>
    <t>RI:R1= UP L/L</t>
  </si>
  <si>
    <t>BY S-28</t>
  </si>
  <si>
    <t>4/423</t>
  </si>
  <si>
    <t>BY S-15</t>
  </si>
  <si>
    <t>3/451</t>
  </si>
  <si>
    <t>RI:L1= MZN YD</t>
  </si>
  <si>
    <t>K-008</t>
  </si>
  <si>
    <t>3/405</t>
  </si>
  <si>
    <t>MZN S-12</t>
  </si>
  <si>
    <t>2/435</t>
  </si>
  <si>
    <t>MZN S-15</t>
  </si>
  <si>
    <t>2/413</t>
  </si>
  <si>
    <t>K-004</t>
  </si>
  <si>
    <t>1/475</t>
  </si>
  <si>
    <t>CSMT S-61</t>
  </si>
  <si>
    <t>1/419</t>
  </si>
  <si>
    <t>RI:L1= PF-10/11/12; L2= S-63; L3= S-55</t>
  </si>
  <si>
    <t>CSMT S-81</t>
  </si>
  <si>
    <t>00/05</t>
  </si>
  <si>
    <t>RI:L1= PF-10; L2= PF-11; L3= PF-12</t>
  </si>
  <si>
    <t>CSMT S-48</t>
  </si>
  <si>
    <t>WB 26+20</t>
  </si>
  <si>
    <t>RI:L1= PF-7; L2= PF-8; L3= PF-9; R1= S-27; R2= S-26</t>
  </si>
  <si>
    <t>Book shows three left and two right arms on top of vertical stem</t>
  </si>
  <si>
    <t>CSMT S-28</t>
  </si>
  <si>
    <t>CSMT S-27</t>
  </si>
  <si>
    <t>RI:L1= PF-6</t>
  </si>
  <si>
    <t>CSMT S-26</t>
  </si>
  <si>
    <t>RI:R1= PF-3</t>
  </si>
  <si>
    <t>KYN S-14</t>
  </si>
  <si>
    <t>PF-1 STR</t>
  </si>
  <si>
    <t>RI: L1= S-20; L2= S-8; L3= S-21</t>
  </si>
  <si>
    <t>KYN S-16</t>
  </si>
  <si>
    <t>PF-1 A STR</t>
  </si>
  <si>
    <t>KYN S-36</t>
  </si>
  <si>
    <t>PF-2 STR</t>
  </si>
  <si>
    <t>KYN S-37</t>
  </si>
  <si>
    <t>KYN S-17</t>
  </si>
  <si>
    <t>KYN S-21</t>
  </si>
  <si>
    <t>RI:R1= K-5102; R2= L-5014</t>
  </si>
  <si>
    <t>PF-6  STR</t>
  </si>
  <si>
    <t>TNA S-28</t>
  </si>
  <si>
    <t>PF-7 UP STR</t>
  </si>
  <si>
    <t>CSMT/0693</t>
  </si>
  <si>
    <t>CSMT/0643</t>
  </si>
  <si>
    <t>CSMT/0627</t>
  </si>
  <si>
    <t>CSMT-PNVL</t>
  </si>
  <si>
    <t>1/20</t>
  </si>
  <si>
    <t>Inadequate track centres in curvatures</t>
  </si>
  <si>
    <t>CSMT PF-3 S-3</t>
  </si>
  <si>
    <t>PF-3 DN LL</t>
  </si>
  <si>
    <t>RI: L1=DN HB; R1=DN TH</t>
  </si>
  <si>
    <t>L-001</t>
  </si>
  <si>
    <t>L-003</t>
  </si>
  <si>
    <t>L-005</t>
  </si>
  <si>
    <t>MSD PF-3 STR</t>
  </si>
  <si>
    <t>L-007</t>
  </si>
  <si>
    <t>01/150 H</t>
  </si>
  <si>
    <t>L-009</t>
  </si>
  <si>
    <t>1/156</t>
  </si>
  <si>
    <t>L-011 REP</t>
  </si>
  <si>
    <t>SNRD PF</t>
  </si>
  <si>
    <t>L-011</t>
  </si>
  <si>
    <t>2/118</t>
  </si>
  <si>
    <t>L-013</t>
  </si>
  <si>
    <t>2/142</t>
  </si>
  <si>
    <t>L-015</t>
  </si>
  <si>
    <t>3/118</t>
  </si>
  <si>
    <t>BY S-14</t>
  </si>
  <si>
    <t>3/144</t>
  </si>
  <si>
    <t>BY S-23</t>
  </si>
  <si>
    <t>RI: R1=DN TH</t>
  </si>
  <si>
    <t>BY S-29</t>
  </si>
  <si>
    <t>4/144</t>
  </si>
  <si>
    <t>L-021</t>
  </si>
  <si>
    <t>4/162</t>
  </si>
  <si>
    <t>L-023</t>
  </si>
  <si>
    <t>5/112</t>
  </si>
  <si>
    <t>L-025</t>
  </si>
  <si>
    <t>5/126</t>
  </si>
  <si>
    <t>L-027</t>
  </si>
  <si>
    <t>6/102A</t>
  </si>
  <si>
    <t>L-029</t>
  </si>
  <si>
    <t>6/122</t>
  </si>
  <si>
    <t>PR S-1</t>
  </si>
  <si>
    <t>6/142</t>
  </si>
  <si>
    <t>PR S-3</t>
  </si>
  <si>
    <t>7/122</t>
  </si>
  <si>
    <t>RI: L1=WR; L2=WR</t>
  </si>
  <si>
    <t>PR S-19</t>
  </si>
  <si>
    <t>PF-1A STR</t>
  </si>
  <si>
    <t>DR S-4</t>
  </si>
  <si>
    <t>8/122</t>
  </si>
  <si>
    <t>DR S-6</t>
  </si>
  <si>
    <t>PF-8 STR</t>
  </si>
  <si>
    <t>L-031</t>
  </si>
  <si>
    <t>9/118</t>
  </si>
  <si>
    <t>L-033</t>
  </si>
  <si>
    <t>9/140</t>
  </si>
  <si>
    <t>DR S-20</t>
  </si>
  <si>
    <t>10/116</t>
  </si>
  <si>
    <t>DR S-24</t>
  </si>
  <si>
    <t>10/136</t>
  </si>
  <si>
    <t>L-035</t>
  </si>
  <si>
    <t>11/104</t>
  </si>
  <si>
    <t>L-037</t>
  </si>
  <si>
    <t>11/126</t>
  </si>
  <si>
    <t>L-039</t>
  </si>
  <si>
    <t>12/102</t>
  </si>
  <si>
    <t>L-041</t>
  </si>
  <si>
    <t>12/118</t>
  </si>
  <si>
    <t>L-043</t>
  </si>
  <si>
    <t>12/136</t>
  </si>
  <si>
    <t>L-045</t>
  </si>
  <si>
    <t>13/122</t>
  </si>
  <si>
    <t>L-049</t>
  </si>
  <si>
    <t>14/108</t>
  </si>
  <si>
    <t>L-051</t>
  </si>
  <si>
    <t>14/124</t>
  </si>
  <si>
    <t>CLA S-1</t>
  </si>
  <si>
    <t>14/138</t>
  </si>
  <si>
    <t>RI: R1=PF-2; R2=PF-3</t>
  </si>
  <si>
    <t>CLA S-8</t>
  </si>
  <si>
    <t>15/126</t>
  </si>
  <si>
    <t>CLA S-21</t>
  </si>
  <si>
    <t>16/102</t>
  </si>
  <si>
    <t>L-053</t>
  </si>
  <si>
    <t>16/126</t>
  </si>
  <si>
    <t>VVH S-2</t>
  </si>
  <si>
    <t>Vidhyavihar</t>
  </si>
  <si>
    <t>16/144</t>
  </si>
  <si>
    <t>VVH S-7</t>
  </si>
  <si>
    <t>17/124</t>
  </si>
  <si>
    <t>VVH S-29 REP</t>
  </si>
  <si>
    <t>VVH PF</t>
  </si>
  <si>
    <t>VVH S-29</t>
  </si>
  <si>
    <t>17/144</t>
  </si>
  <si>
    <t>L-055</t>
  </si>
  <si>
    <t>18/124</t>
  </si>
  <si>
    <t>VVH S-47</t>
  </si>
  <si>
    <t>18/150</t>
  </si>
  <si>
    <t>VVH S-56</t>
  </si>
  <si>
    <t>19/124</t>
  </si>
  <si>
    <t>L-057</t>
  </si>
  <si>
    <t>19/142</t>
  </si>
  <si>
    <t>L-059</t>
  </si>
  <si>
    <t>20/108</t>
  </si>
  <si>
    <t>L-061</t>
  </si>
  <si>
    <t>20/124</t>
  </si>
  <si>
    <t>L-063</t>
  </si>
  <si>
    <t>20/140</t>
  </si>
  <si>
    <t>L-065</t>
  </si>
  <si>
    <t>21/118</t>
  </si>
  <si>
    <t>L-067</t>
  </si>
  <si>
    <t>21/134</t>
  </si>
  <si>
    <t>VK S-1</t>
  </si>
  <si>
    <t>22/114</t>
  </si>
  <si>
    <t>VK S-3</t>
  </si>
  <si>
    <t>22/146</t>
  </si>
  <si>
    <t>L-071</t>
  </si>
  <si>
    <t>23/122</t>
  </si>
  <si>
    <t>L-075</t>
  </si>
  <si>
    <t>24/112</t>
  </si>
  <si>
    <t>L-077 REP</t>
  </si>
  <si>
    <t>KJRD PF</t>
  </si>
  <si>
    <t>L-077</t>
  </si>
  <si>
    <t>24/140</t>
  </si>
  <si>
    <t>L-079</t>
  </si>
  <si>
    <t>25/110</t>
  </si>
  <si>
    <t>L-081</t>
  </si>
  <si>
    <t>25/130</t>
  </si>
  <si>
    <t>BND S-14</t>
  </si>
  <si>
    <t>26/112</t>
  </si>
  <si>
    <t>BND S-16</t>
  </si>
  <si>
    <t>26/130</t>
  </si>
  <si>
    <t>RI: R1=DN LL</t>
  </si>
  <si>
    <t>L-083</t>
  </si>
  <si>
    <t>27/102</t>
  </si>
  <si>
    <t>L-085</t>
  </si>
  <si>
    <t>27/118</t>
  </si>
  <si>
    <t>L-087</t>
  </si>
  <si>
    <t>27/134</t>
  </si>
  <si>
    <t>L-089</t>
  </si>
  <si>
    <t>28/112</t>
  </si>
  <si>
    <t>L-091</t>
  </si>
  <si>
    <t>28/128</t>
  </si>
  <si>
    <t>L-093</t>
  </si>
  <si>
    <t>29/106</t>
  </si>
  <si>
    <t>L-095</t>
  </si>
  <si>
    <t>29/126</t>
  </si>
  <si>
    <t>MLND S-4</t>
  </si>
  <si>
    <t>29/148</t>
  </si>
  <si>
    <t>MLND S-5</t>
  </si>
  <si>
    <t>30/124</t>
  </si>
  <si>
    <t>L-097</t>
  </si>
  <si>
    <t>30/154</t>
  </si>
  <si>
    <t>L-099</t>
  </si>
  <si>
    <t>31/114</t>
  </si>
  <si>
    <t>TNA S-2</t>
  </si>
  <si>
    <t>31/128</t>
  </si>
  <si>
    <t>RI: L1=S-21</t>
  </si>
  <si>
    <t>TNA S-19</t>
  </si>
  <si>
    <t>32/128</t>
  </si>
  <si>
    <t>RI: L1=PF-1; R1=PF-3</t>
  </si>
  <si>
    <t>TNA S-56</t>
  </si>
  <si>
    <t>32/162</t>
  </si>
  <si>
    <t>TNA S-69</t>
  </si>
  <si>
    <t>TNA S-77</t>
  </si>
  <si>
    <t>33/138</t>
  </si>
  <si>
    <t>L-3403</t>
  </si>
  <si>
    <t>34/106</t>
  </si>
  <si>
    <t>KLVA S-2</t>
  </si>
  <si>
    <t>KLVA</t>
  </si>
  <si>
    <t>Kalva</t>
  </si>
  <si>
    <t>L-3413</t>
  </si>
  <si>
    <t>34/144</t>
  </si>
  <si>
    <t>L-3505</t>
  </si>
  <si>
    <t>35/112A</t>
  </si>
  <si>
    <t>L-3511</t>
  </si>
  <si>
    <t>35/128</t>
  </si>
  <si>
    <t>KLVA S-8</t>
  </si>
  <si>
    <t>36/104</t>
  </si>
  <si>
    <t>KLVA S-12</t>
  </si>
  <si>
    <t>36/136</t>
  </si>
  <si>
    <t>L-3705</t>
  </si>
  <si>
    <t>37/114</t>
  </si>
  <si>
    <t>L-3717</t>
  </si>
  <si>
    <t>37/134</t>
  </si>
  <si>
    <t>L-3805</t>
  </si>
  <si>
    <t>38/102</t>
  </si>
  <si>
    <t>L-3809</t>
  </si>
  <si>
    <t>38/118B</t>
  </si>
  <si>
    <t>L-3905</t>
  </si>
  <si>
    <t>38/130B</t>
  </si>
  <si>
    <t>L-3911</t>
  </si>
  <si>
    <t>39/122A</t>
  </si>
  <si>
    <t>L-4001 REP</t>
  </si>
  <si>
    <t>MBQ PF</t>
  </si>
  <si>
    <t>L-4001</t>
  </si>
  <si>
    <t>40/106</t>
  </si>
  <si>
    <t>L-4011</t>
  </si>
  <si>
    <t>40/118</t>
  </si>
  <si>
    <t>L-4017</t>
  </si>
  <si>
    <t>40/132A</t>
  </si>
  <si>
    <t>DW S-2</t>
  </si>
  <si>
    <t>DW</t>
  </si>
  <si>
    <t>Diva</t>
  </si>
  <si>
    <t>41/106A</t>
  </si>
  <si>
    <t>DW S-5</t>
  </si>
  <si>
    <t>41/120</t>
  </si>
  <si>
    <t>DW S-6</t>
  </si>
  <si>
    <t>42/102</t>
  </si>
  <si>
    <t>L-4211</t>
  </si>
  <si>
    <t>DW S-17</t>
  </si>
  <si>
    <t>42/140</t>
  </si>
  <si>
    <t>L-4307</t>
  </si>
  <si>
    <t>43/120</t>
  </si>
  <si>
    <t>L-4401</t>
  </si>
  <si>
    <t>44/102</t>
  </si>
  <si>
    <t>L-4411</t>
  </si>
  <si>
    <t>44/126</t>
  </si>
  <si>
    <t>L-4507</t>
  </si>
  <si>
    <t>45/114</t>
  </si>
  <si>
    <t>L-4601</t>
  </si>
  <si>
    <t>45/134</t>
  </si>
  <si>
    <t>L-4609</t>
  </si>
  <si>
    <t>46/120</t>
  </si>
  <si>
    <t>DI S-19</t>
  </si>
  <si>
    <t>Dombivali</t>
  </si>
  <si>
    <t>46/142</t>
  </si>
  <si>
    <t>DI S-27</t>
  </si>
  <si>
    <t>47/120</t>
  </si>
  <si>
    <t>RI: L1=PF-1</t>
  </si>
  <si>
    <t>DI S-37</t>
  </si>
  <si>
    <t>PF-2 DN STR</t>
  </si>
  <si>
    <t>L-4811</t>
  </si>
  <si>
    <t>48/140</t>
  </si>
  <si>
    <t>L-4903</t>
  </si>
  <si>
    <t>49/116</t>
  </si>
  <si>
    <t>TCY S-2</t>
  </si>
  <si>
    <t>TCY</t>
  </si>
  <si>
    <t>Thakurli</t>
  </si>
  <si>
    <t>THK PF STR</t>
  </si>
  <si>
    <t>RI: L1=CHOLA SDG</t>
  </si>
  <si>
    <t>TCY S-3</t>
  </si>
  <si>
    <t>50/110</t>
  </si>
  <si>
    <t>L-5011</t>
  </si>
  <si>
    <t>50/132</t>
  </si>
  <si>
    <t>KYN S-2</t>
  </si>
  <si>
    <t>51/104</t>
  </si>
  <si>
    <t>RI: R1=S-12; R2=S-9; R3=YARD</t>
  </si>
  <si>
    <t>KYN S-11</t>
  </si>
  <si>
    <t>51/132</t>
  </si>
  <si>
    <t>RI: R1=S-13</t>
  </si>
  <si>
    <t>KYN S-10</t>
  </si>
  <si>
    <t>52/108</t>
  </si>
  <si>
    <t>RI: L1=S-28; L2=PF-1</t>
  </si>
  <si>
    <t>KYN S-32</t>
  </si>
  <si>
    <t>52/133</t>
  </si>
  <si>
    <t>RI: L1=PF-3</t>
  </si>
  <si>
    <t>KYN S-53</t>
  </si>
  <si>
    <t>RI: L1=SE</t>
  </si>
  <si>
    <t>RI: L1=TH S-8; L2=S-21</t>
  </si>
  <si>
    <t>KYN S-20</t>
  </si>
  <si>
    <t>52/211</t>
  </si>
  <si>
    <t>KYN S-7</t>
  </si>
  <si>
    <t>52/223</t>
  </si>
  <si>
    <t>L-5014</t>
  </si>
  <si>
    <t>51/201</t>
  </si>
  <si>
    <t>TCY S-21</t>
  </si>
  <si>
    <t>50/228</t>
  </si>
  <si>
    <t>RI: R1=CHOLA SDG</t>
  </si>
  <si>
    <t>L-4912</t>
  </si>
  <si>
    <t>49/245</t>
  </si>
  <si>
    <t>L-4906</t>
  </si>
  <si>
    <t>L-4818</t>
  </si>
  <si>
    <t>48/243</t>
  </si>
  <si>
    <t>L-4810</t>
  </si>
  <si>
    <t>48/219</t>
  </si>
  <si>
    <t>DI S-36</t>
  </si>
  <si>
    <t>L-4710</t>
  </si>
  <si>
    <t>47/220</t>
  </si>
  <si>
    <t>L-4702</t>
  </si>
  <si>
    <t>47/206</t>
  </si>
  <si>
    <t>DI S-16</t>
  </si>
  <si>
    <t>L-4602</t>
  </si>
  <si>
    <t>46/205</t>
  </si>
  <si>
    <t>L-4506</t>
  </si>
  <si>
    <t>45/213</t>
  </si>
  <si>
    <t>L-4410</t>
  </si>
  <si>
    <t>44/227</t>
  </si>
  <si>
    <t>L-4314</t>
  </si>
  <si>
    <t>43/241</t>
  </si>
  <si>
    <t>L-4308</t>
  </si>
  <si>
    <t>43/227</t>
  </si>
  <si>
    <t>DW S-66</t>
  </si>
  <si>
    <t>43/215</t>
  </si>
  <si>
    <t>RI: L1=UP TH</t>
  </si>
  <si>
    <t>DW S-64</t>
  </si>
  <si>
    <t>42/229</t>
  </si>
  <si>
    <t>DW S-53</t>
  </si>
  <si>
    <t>DW S-48</t>
  </si>
  <si>
    <t>41/229</t>
  </si>
  <si>
    <t>DW S-45</t>
  </si>
  <si>
    <t>41/213</t>
  </si>
  <si>
    <t>L-4020</t>
  </si>
  <si>
    <t>40/237</t>
  </si>
  <si>
    <t>L-4014</t>
  </si>
  <si>
    <t>40/225</t>
  </si>
  <si>
    <t>L-3912</t>
  </si>
  <si>
    <t>39/225</t>
  </si>
  <si>
    <t>L-3906</t>
  </si>
  <si>
    <t>39/211</t>
  </si>
  <si>
    <t>L-3816</t>
  </si>
  <si>
    <t>38/233</t>
  </si>
  <si>
    <t>L-3808</t>
  </si>
  <si>
    <t>38/219A</t>
  </si>
  <si>
    <t>L-3718</t>
  </si>
  <si>
    <t>38/201</t>
  </si>
  <si>
    <t>L-3708</t>
  </si>
  <si>
    <t>37/223</t>
  </si>
  <si>
    <t>L-3702</t>
  </si>
  <si>
    <t>37/209</t>
  </si>
  <si>
    <t>KLVA S-29</t>
  </si>
  <si>
    <t>KLVA PF</t>
  </si>
  <si>
    <t>L-3602</t>
  </si>
  <si>
    <t>36/207</t>
  </si>
  <si>
    <t>L-3512</t>
  </si>
  <si>
    <t>35/231</t>
  </si>
  <si>
    <t>L-3506</t>
  </si>
  <si>
    <t>KLVA S-25</t>
  </si>
  <si>
    <t>35/247</t>
  </si>
  <si>
    <t>L-3408</t>
  </si>
  <si>
    <t>34/225</t>
  </si>
  <si>
    <t>TNA S-88</t>
  </si>
  <si>
    <t>34/205</t>
  </si>
  <si>
    <t>RI: L1=S-82</t>
  </si>
  <si>
    <t>TNA S-86</t>
  </si>
  <si>
    <t>33/241</t>
  </si>
  <si>
    <t>RI: R1=PF-3</t>
  </si>
  <si>
    <t>TNA S-72</t>
  </si>
  <si>
    <t>33/217</t>
  </si>
  <si>
    <t>TNA S-59</t>
  </si>
  <si>
    <t>PF 4 STR</t>
  </si>
  <si>
    <t>RI: L1=S-11</t>
  </si>
  <si>
    <t>TNA S-32</t>
  </si>
  <si>
    <t>32/227</t>
  </si>
  <si>
    <t>TNA S-9</t>
  </si>
  <si>
    <t>32/205</t>
  </si>
  <si>
    <t>L-092</t>
  </si>
  <si>
    <t>31/225</t>
  </si>
  <si>
    <t>MLND S-17</t>
  </si>
  <si>
    <t>31/209</t>
  </si>
  <si>
    <t>MLND S-15</t>
  </si>
  <si>
    <t>30/235</t>
  </si>
  <si>
    <t>L-090</t>
  </si>
  <si>
    <t>L-088</t>
  </si>
  <si>
    <t>29/227</t>
  </si>
  <si>
    <t>L-086</t>
  </si>
  <si>
    <t>29/203</t>
  </si>
  <si>
    <t>L-084</t>
  </si>
  <si>
    <t>28/221</t>
  </si>
  <si>
    <t>L-082</t>
  </si>
  <si>
    <t>27/235</t>
  </si>
  <si>
    <t>L-080</t>
  </si>
  <si>
    <t>27/217</t>
  </si>
  <si>
    <t>BND S-23</t>
  </si>
  <si>
    <t>27/201</t>
  </si>
  <si>
    <t>L-078</t>
  </si>
  <si>
    <t>26/213</t>
  </si>
  <si>
    <t>L-076</t>
  </si>
  <si>
    <t>25/237</t>
  </si>
  <si>
    <t>L-074</t>
  </si>
  <si>
    <t>25/217</t>
  </si>
  <si>
    <t>L-072</t>
  </si>
  <si>
    <t>25/201</t>
  </si>
  <si>
    <t>L-070</t>
  </si>
  <si>
    <t>23/233</t>
  </si>
  <si>
    <t>L-066</t>
  </si>
  <si>
    <t>VK S-23</t>
  </si>
  <si>
    <t>Vikroli</t>
  </si>
  <si>
    <t>23/205</t>
  </si>
  <si>
    <t>VK S-21</t>
  </si>
  <si>
    <t>L-064</t>
  </si>
  <si>
    <t>22/211</t>
  </si>
  <si>
    <t>L-062</t>
  </si>
  <si>
    <t>21/229</t>
  </si>
  <si>
    <t>L-060</t>
  </si>
  <si>
    <t>21/213</t>
  </si>
  <si>
    <t>L-058</t>
  </si>
  <si>
    <t>20/235</t>
  </si>
  <si>
    <t>L-056</t>
  </si>
  <si>
    <t>20/217</t>
  </si>
  <si>
    <t>L-056 A</t>
  </si>
  <si>
    <t>19/239</t>
  </si>
  <si>
    <t>VVH S-57</t>
  </si>
  <si>
    <t>19/219</t>
  </si>
  <si>
    <t>VVH S-54</t>
  </si>
  <si>
    <t>VVH S-41</t>
  </si>
  <si>
    <t>18/235</t>
  </si>
  <si>
    <t>VVH S-33</t>
  </si>
  <si>
    <t>18/211</t>
  </si>
  <si>
    <t>VVH S-14</t>
  </si>
  <si>
    <t>L-054</t>
  </si>
  <si>
    <t>17/207</t>
  </si>
  <si>
    <t>L-052</t>
  </si>
  <si>
    <t>16/239</t>
  </si>
  <si>
    <t>CLA S-26</t>
  </si>
  <si>
    <t>16/223</t>
  </si>
  <si>
    <t>CLA S-34</t>
  </si>
  <si>
    <t>15/245</t>
  </si>
  <si>
    <t>CLA S-42</t>
  </si>
  <si>
    <t>L-050</t>
  </si>
  <si>
    <t>14/235</t>
  </si>
  <si>
    <t>L-048</t>
  </si>
  <si>
    <t>14/221</t>
  </si>
  <si>
    <t>L-046</t>
  </si>
  <si>
    <t>13/227</t>
  </si>
  <si>
    <t>L-044</t>
  </si>
  <si>
    <t>13/205</t>
  </si>
  <si>
    <t>L-042</t>
  </si>
  <si>
    <t>L-040</t>
  </si>
  <si>
    <t>12/211</t>
  </si>
  <si>
    <t>L-038</t>
  </si>
  <si>
    <t>11/223</t>
  </si>
  <si>
    <t>DR S-27</t>
  </si>
  <si>
    <t>11/205</t>
  </si>
  <si>
    <t>RI: L1=UP TH; R1=YARD</t>
  </si>
  <si>
    <t>L-036</t>
  </si>
  <si>
    <t>10/221</t>
  </si>
  <si>
    <t>DR S-33</t>
  </si>
  <si>
    <t>L-032</t>
  </si>
  <si>
    <t>DR S-36</t>
  </si>
  <si>
    <t>RI: R1=PF-2</t>
  </si>
  <si>
    <t>DR S-41</t>
  </si>
  <si>
    <t>PR S-28</t>
  </si>
  <si>
    <t>8/221</t>
  </si>
  <si>
    <t>RI: R1=EMU LOCAL</t>
  </si>
  <si>
    <t>PR S-26</t>
  </si>
  <si>
    <t>8/201</t>
  </si>
  <si>
    <t>PR S-12</t>
  </si>
  <si>
    <t>7/231</t>
  </si>
  <si>
    <t>L-028</t>
  </si>
  <si>
    <t>7/203</t>
  </si>
  <si>
    <t>L-026</t>
  </si>
  <si>
    <t>6/229</t>
  </si>
  <si>
    <t>L-024</t>
  </si>
  <si>
    <t>6/213</t>
  </si>
  <si>
    <t>L-022</t>
  </si>
  <si>
    <t>L-020</t>
  </si>
  <si>
    <t>5/221</t>
  </si>
  <si>
    <t>L-018</t>
  </si>
  <si>
    <t>BY S-39</t>
  </si>
  <si>
    <t>4/256</t>
  </si>
  <si>
    <t>BY S-16</t>
  </si>
  <si>
    <t>L-014</t>
  </si>
  <si>
    <t>3/231</t>
  </si>
  <si>
    <t>L-012</t>
  </si>
  <si>
    <t>2/247</t>
  </si>
  <si>
    <t>L-010</t>
  </si>
  <si>
    <t>2/231</t>
  </si>
  <si>
    <t>L-008 REP</t>
  </si>
  <si>
    <t>L-008</t>
  </si>
  <si>
    <t>2/203</t>
  </si>
  <si>
    <t>L-006</t>
  </si>
  <si>
    <t>1/244</t>
  </si>
  <si>
    <t>L-004</t>
  </si>
  <si>
    <t>1/214</t>
  </si>
  <si>
    <t>L-002</t>
  </si>
  <si>
    <t>CSMT S-54</t>
  </si>
  <si>
    <t>RI: L1=S-27; R1=S-24; R2=S-23</t>
  </si>
  <si>
    <t>Book shows one left and two right arms on top of vertical stem</t>
  </si>
  <si>
    <t>RI: R1= PF-3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</si>
  <si>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</si>
  <si>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</si>
  <si>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</si>
  <si>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</si>
  <si>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</si>
  <si>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</si>
  <si>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</si>
  <si>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</si>
  <si>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</si>
  <si>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</si>
  <si>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</si>
  <si>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</si>
  <si>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52/221</t>
  </si>
  <si>
    <t>52/217</t>
  </si>
  <si>
    <t>Due to diamond on curve</t>
  </si>
  <si>
    <t>52/60</t>
  </si>
  <si>
    <t>52/48</t>
  </si>
  <si>
    <t>DDS in Curve</t>
  </si>
  <si>
    <t>40/219</t>
  </si>
  <si>
    <t>39/221A</t>
  </si>
  <si>
    <t>Due to Limited transition length &amp; presence of compound curve 2° &amp; 3.07°</t>
  </si>
  <si>
    <t>38/217</t>
  </si>
  <si>
    <t>38/209</t>
  </si>
  <si>
    <t>Due to Limited transition length &amp; presence of 2.78° curve</t>
  </si>
  <si>
    <t>33/326</t>
  </si>
  <si>
    <t>33/205A</t>
  </si>
  <si>
    <t>Due to Limited transition length &amp; presence of reverse curve 1.458° &amp; 1.476°</t>
  </si>
  <si>
    <t>30/241</t>
  </si>
  <si>
    <t>30/237</t>
  </si>
  <si>
    <t>Approach to diamond on curve</t>
  </si>
  <si>
    <t>18/209</t>
  </si>
  <si>
    <t>18/201</t>
  </si>
  <si>
    <t>10/227</t>
  </si>
  <si>
    <t>10/223</t>
  </si>
  <si>
    <t>CSMT/0459</t>
  </si>
  <si>
    <t>CSMT/0423</t>
  </si>
  <si>
    <t>Due to curvature and less track centres between Up &amp; Dn LL.</t>
  </si>
  <si>
    <t>CSMT S-1</t>
  </si>
  <si>
    <t>Csmt</t>
  </si>
  <si>
    <t>WCLAM6+42</t>
  </si>
  <si>
    <t>RI: R1=L/L</t>
  </si>
  <si>
    <t>CSMT S-34</t>
  </si>
  <si>
    <t>CSMT/0164</t>
  </si>
  <si>
    <t>RI: L1= H-03; L2= S-34</t>
  </si>
  <si>
    <t>H-03</t>
  </si>
  <si>
    <t>CSMT/1108</t>
  </si>
  <si>
    <t>H-05</t>
  </si>
  <si>
    <t>MSD PF STR</t>
  </si>
  <si>
    <t>01/H04</t>
  </si>
  <si>
    <t>H-07</t>
  </si>
  <si>
    <t>01/150H</t>
  </si>
  <si>
    <t>H-09</t>
  </si>
  <si>
    <t>SNRD PF-3</t>
  </si>
  <si>
    <t>02/H09</t>
  </si>
  <si>
    <t>H-11</t>
  </si>
  <si>
    <t>02/H136</t>
  </si>
  <si>
    <t>H-13</t>
  </si>
  <si>
    <t>DKRD PF-1 STR</t>
  </si>
  <si>
    <t>03/H01</t>
  </si>
  <si>
    <t>H-15</t>
  </si>
  <si>
    <t>03/H122</t>
  </si>
  <si>
    <t>H-17</t>
  </si>
  <si>
    <t>03/H263A</t>
  </si>
  <si>
    <t>H-19</t>
  </si>
  <si>
    <t>RRD PF-1</t>
  </si>
  <si>
    <t>04/H10</t>
  </si>
  <si>
    <t>H-21</t>
  </si>
  <si>
    <t>04/H146</t>
  </si>
  <si>
    <t>H-23</t>
  </si>
  <si>
    <t>CTGN PF-1 STR</t>
  </si>
  <si>
    <t>05/H08</t>
  </si>
  <si>
    <t>H-25</t>
  </si>
  <si>
    <t>05/H140</t>
  </si>
  <si>
    <t>H-27</t>
  </si>
  <si>
    <t>06/H112</t>
  </si>
  <si>
    <t>H-29</t>
  </si>
  <si>
    <t>06/H132</t>
  </si>
  <si>
    <t>H-31</t>
  </si>
  <si>
    <t>SVE PF-1 STR</t>
  </si>
  <si>
    <t>07/H02</t>
  </si>
  <si>
    <t>H-33</t>
  </si>
  <si>
    <t>07/H162</t>
  </si>
  <si>
    <t>H-35</t>
  </si>
  <si>
    <t>08/H118</t>
  </si>
  <si>
    <t>RVJ S-1</t>
  </si>
  <si>
    <t>VDLR</t>
  </si>
  <si>
    <t>Wadala road</t>
  </si>
  <si>
    <t>08/H152</t>
  </si>
  <si>
    <t>RVJ S-6</t>
  </si>
  <si>
    <t>VDLR PF-1</t>
  </si>
  <si>
    <t>09/H05</t>
  </si>
  <si>
    <t>RVJ S-9</t>
  </si>
  <si>
    <t>09/H142</t>
  </si>
  <si>
    <t>RI: R1=PNVL</t>
  </si>
  <si>
    <t>RVJ S-22</t>
  </si>
  <si>
    <t>10/H108</t>
  </si>
  <si>
    <t>H-41</t>
  </si>
  <si>
    <t>10/H166</t>
  </si>
  <si>
    <t>H-43</t>
  </si>
  <si>
    <t>GTBN PF-1</t>
  </si>
  <si>
    <t>11/H17</t>
  </si>
  <si>
    <t>H-45</t>
  </si>
  <si>
    <t>12/H120</t>
  </si>
  <si>
    <t>H-47</t>
  </si>
  <si>
    <t>12/H146</t>
  </si>
  <si>
    <t>H-49</t>
  </si>
  <si>
    <t>CHF PF-1</t>
  </si>
  <si>
    <t>13/H05</t>
  </si>
  <si>
    <t>CLA S-5</t>
  </si>
  <si>
    <t>13/H140</t>
  </si>
  <si>
    <t>RI: R1=CLA GOODS</t>
  </si>
  <si>
    <t>CLA S-2</t>
  </si>
  <si>
    <t>14/H138</t>
  </si>
  <si>
    <t>RI: R1=PF-8</t>
  </si>
  <si>
    <t>CLA S-12</t>
  </si>
  <si>
    <t>15/H15</t>
  </si>
  <si>
    <t>RI: L1=CLA YD</t>
  </si>
  <si>
    <t>H-51</t>
  </si>
  <si>
    <t>16/H116</t>
  </si>
  <si>
    <t>H-53</t>
  </si>
  <si>
    <t>TKNG PF-1 STR</t>
  </si>
  <si>
    <t>16/H11</t>
  </si>
  <si>
    <t>CMBR S-10</t>
  </si>
  <si>
    <t>CMBR</t>
  </si>
  <si>
    <t>Chembur</t>
  </si>
  <si>
    <t>17/H118</t>
  </si>
  <si>
    <t>CMBR S-9</t>
  </si>
  <si>
    <t>CMBR PF-1</t>
  </si>
  <si>
    <t>18/H01</t>
  </si>
  <si>
    <t>H-55</t>
  </si>
  <si>
    <t>18/H124</t>
  </si>
  <si>
    <t>H-57</t>
  </si>
  <si>
    <t>19/H102</t>
  </si>
  <si>
    <t>H-59</t>
  </si>
  <si>
    <t>GV PF-1</t>
  </si>
  <si>
    <t>19/H10</t>
  </si>
  <si>
    <t>H-61</t>
  </si>
  <si>
    <t>20/H108</t>
  </si>
  <si>
    <t>MNKD S-1</t>
  </si>
  <si>
    <t>MNKD</t>
  </si>
  <si>
    <t>Mankhurd</t>
  </si>
  <si>
    <t>20/H130</t>
  </si>
  <si>
    <t>MNKD S-2</t>
  </si>
  <si>
    <t>21/H104</t>
  </si>
  <si>
    <t>MNKD S-4</t>
  </si>
  <si>
    <t>MNKD PF-1 STR</t>
  </si>
  <si>
    <t>21/H13</t>
  </si>
  <si>
    <t>H-2201</t>
  </si>
  <si>
    <t>21/H180</t>
  </si>
  <si>
    <t>H-2209</t>
  </si>
  <si>
    <t>22/H116</t>
  </si>
  <si>
    <t>H-2215</t>
  </si>
  <si>
    <t>22/H136</t>
  </si>
  <si>
    <t>H-2305</t>
  </si>
  <si>
    <t>23/H108</t>
  </si>
  <si>
    <t>H-2311</t>
  </si>
  <si>
    <t>23/H128</t>
  </si>
  <si>
    <t>H-2401</t>
  </si>
  <si>
    <t>24/H102</t>
  </si>
  <si>
    <t>H-2411</t>
  </si>
  <si>
    <t>24/H130</t>
  </si>
  <si>
    <t>H-2503</t>
  </si>
  <si>
    <t>25/H106</t>
  </si>
  <si>
    <t>H-2513</t>
  </si>
  <si>
    <t>25/H124</t>
  </si>
  <si>
    <t>H-2603</t>
  </si>
  <si>
    <t>26/H104</t>
  </si>
  <si>
    <t>H-2613</t>
  </si>
  <si>
    <t>26/H124</t>
  </si>
  <si>
    <t>H-2703</t>
  </si>
  <si>
    <t>27/H104</t>
  </si>
  <si>
    <t>H-2707</t>
  </si>
  <si>
    <t>27/H122</t>
  </si>
  <si>
    <t>H-2715</t>
  </si>
  <si>
    <t>27/H138</t>
  </si>
  <si>
    <t>VSH S-2</t>
  </si>
  <si>
    <t>VSH</t>
  </si>
  <si>
    <t>Vashi</t>
  </si>
  <si>
    <t>28/H118</t>
  </si>
  <si>
    <t>VSH S-5</t>
  </si>
  <si>
    <t>29/H102</t>
  </si>
  <si>
    <t>H-2921</t>
  </si>
  <si>
    <t>29/H120</t>
  </si>
  <si>
    <t>H-2935</t>
  </si>
  <si>
    <t>29/H136</t>
  </si>
  <si>
    <t>H-3001</t>
  </si>
  <si>
    <t>SNPD PF-3</t>
  </si>
  <si>
    <t>30/02</t>
  </si>
  <si>
    <t>H-3013</t>
  </si>
  <si>
    <t>30/H126</t>
  </si>
  <si>
    <t>H-3109</t>
  </si>
  <si>
    <t>31/07</t>
  </si>
  <si>
    <t>H-3141</t>
  </si>
  <si>
    <t>31/17</t>
  </si>
  <si>
    <t>JNJ S-4</t>
  </si>
  <si>
    <t>JNJ</t>
  </si>
  <si>
    <t>Juinagar</t>
  </si>
  <si>
    <t>JNJ PF-3</t>
  </si>
  <si>
    <t>32/01</t>
  </si>
  <si>
    <t>JNJ S-6</t>
  </si>
  <si>
    <t>32/H122</t>
  </si>
  <si>
    <t>JNJ S-10</t>
  </si>
  <si>
    <t>33/H104</t>
  </si>
  <si>
    <t>NEU S-4</t>
  </si>
  <si>
    <t>NEU</t>
  </si>
  <si>
    <t>Nerul</t>
  </si>
  <si>
    <t>33/H134</t>
  </si>
  <si>
    <t>NEU S-33</t>
  </si>
  <si>
    <t>NEU PF-3</t>
  </si>
  <si>
    <t>34/07</t>
  </si>
  <si>
    <t>RI: R1=URAN</t>
  </si>
  <si>
    <t>NEU S-41</t>
  </si>
  <si>
    <t>35/H110</t>
  </si>
  <si>
    <t>H-3515</t>
  </si>
  <si>
    <t>35/H138</t>
  </si>
  <si>
    <t>H-3601</t>
  </si>
  <si>
    <t>SEWD PF-1</t>
  </si>
  <si>
    <t>36/01</t>
  </si>
  <si>
    <t>H-3607</t>
  </si>
  <si>
    <t>36/H118</t>
  </si>
  <si>
    <t>H-3617</t>
  </si>
  <si>
    <t>36/H138</t>
  </si>
  <si>
    <t>H-3703</t>
  </si>
  <si>
    <t>37/H112</t>
  </si>
  <si>
    <t>BEPR S-2</t>
  </si>
  <si>
    <t>BEPR</t>
  </si>
  <si>
    <t>Belapur</t>
  </si>
  <si>
    <t>37/H128</t>
  </si>
  <si>
    <t>H-3717 REP</t>
  </si>
  <si>
    <t>37/16</t>
  </si>
  <si>
    <t>H-3717</t>
  </si>
  <si>
    <t>37/H152</t>
  </si>
  <si>
    <t>BEPR S-8</t>
  </si>
  <si>
    <t>BEPR PF-1</t>
  </si>
  <si>
    <t>38/04</t>
  </si>
  <si>
    <t>BEPR S-22</t>
  </si>
  <si>
    <t>38/H122</t>
  </si>
  <si>
    <t>H-3907</t>
  </si>
  <si>
    <t>39/H106</t>
  </si>
  <si>
    <t>H-3917</t>
  </si>
  <si>
    <t>39/H124</t>
  </si>
  <si>
    <t>H-4005</t>
  </si>
  <si>
    <t>40/H110</t>
  </si>
  <si>
    <t>H-4013</t>
  </si>
  <si>
    <t>KHAG PF-1</t>
  </si>
  <si>
    <t>40/12</t>
  </si>
  <si>
    <t>H-4103</t>
  </si>
  <si>
    <t>41/H106</t>
  </si>
  <si>
    <t>H-4115</t>
  </si>
  <si>
    <t>41/H126</t>
  </si>
  <si>
    <t>H-4201</t>
  </si>
  <si>
    <t>41/H148</t>
  </si>
  <si>
    <t>H-4211</t>
  </si>
  <si>
    <t>42/H118</t>
  </si>
  <si>
    <t>H-4301</t>
  </si>
  <si>
    <t>43/H102</t>
  </si>
  <si>
    <t>H-4311</t>
  </si>
  <si>
    <t>MANR PF-1</t>
  </si>
  <si>
    <t>43/11</t>
  </si>
  <si>
    <t>H-4401</t>
  </si>
  <si>
    <t>43/17</t>
  </si>
  <si>
    <t>H-4409</t>
  </si>
  <si>
    <t>44/H114</t>
  </si>
  <si>
    <t>H-4421</t>
  </si>
  <si>
    <t>44/H140</t>
  </si>
  <si>
    <t>H-4509</t>
  </si>
  <si>
    <t>KNDS PF-1</t>
  </si>
  <si>
    <t>45/09</t>
  </si>
  <si>
    <t>H-4517</t>
  </si>
  <si>
    <t>45/H140</t>
  </si>
  <si>
    <t>H-4607</t>
  </si>
  <si>
    <t>46/H112</t>
  </si>
  <si>
    <t>H-4615</t>
  </si>
  <si>
    <t>46/H132</t>
  </si>
  <si>
    <t>H-4703</t>
  </si>
  <si>
    <t>47/H104</t>
  </si>
  <si>
    <t>PNVL S-402</t>
  </si>
  <si>
    <t>PNVL</t>
  </si>
  <si>
    <t>Panvel</t>
  </si>
  <si>
    <t>47/H136</t>
  </si>
  <si>
    <t>RI: R1=S-404</t>
  </si>
  <si>
    <t>PNVL S-403</t>
  </si>
  <si>
    <t>48/H110</t>
  </si>
  <si>
    <t>1/306</t>
  </si>
  <si>
    <t>1/328</t>
  </si>
  <si>
    <t>Curvature and inadequate cant due to Turn Out</t>
  </si>
  <si>
    <t>01/17</t>
  </si>
  <si>
    <t>01/19</t>
  </si>
  <si>
    <t>Heavy grade and sharp curves</t>
  </si>
  <si>
    <t>02/H102</t>
  </si>
  <si>
    <t>02/H08</t>
  </si>
  <si>
    <t>Inadequate cant and infringement on fly over</t>
  </si>
  <si>
    <t>02/H138</t>
  </si>
  <si>
    <t>02/25</t>
  </si>
  <si>
    <t>Heavy grade and sharp verticals curve and horizontal curve of 6.75 degree</t>
  </si>
  <si>
    <t>03/H116</t>
  </si>
  <si>
    <t>03/18</t>
  </si>
  <si>
    <t>Due to sharp curve</t>
  </si>
  <si>
    <t>4/H136</t>
  </si>
  <si>
    <t>05/17</t>
  </si>
  <si>
    <t>15/H128</t>
  </si>
  <si>
    <t>16/00</t>
  </si>
  <si>
    <t>Due to sharp curve of 10 degree</t>
  </si>
  <si>
    <t>21/H102</t>
  </si>
  <si>
    <t>21/21</t>
  </si>
  <si>
    <t>4 degree non transition reverse curve</t>
  </si>
  <si>
    <t>28/16</t>
  </si>
  <si>
    <t>28/19</t>
  </si>
  <si>
    <t>4 degree non transition reverse curve on PF-3</t>
  </si>
  <si>
    <t>29/H132</t>
  </si>
  <si>
    <t>31/380</t>
  </si>
  <si>
    <t xml:space="preserve">Due to sharp reverse curve </t>
  </si>
  <si>
    <t>31/25</t>
  </si>
  <si>
    <t>Reverse curve of 3.5 degrees</t>
  </si>
  <si>
    <t>32/H102</t>
  </si>
  <si>
    <t>32/720</t>
  </si>
  <si>
    <t>Due to sharp reverse curve of 2.9 degrees</t>
  </si>
  <si>
    <t>34/H122</t>
  </si>
  <si>
    <t>34/14</t>
  </si>
  <si>
    <t>Sharp curve in point and crossing</t>
  </si>
  <si>
    <t>35/H104</t>
  </si>
  <si>
    <t>35/681</t>
  </si>
  <si>
    <t>Due to sharp curve of 04 degree</t>
  </si>
  <si>
    <t>36/H122</t>
  </si>
  <si>
    <t>37/300</t>
  </si>
  <si>
    <t>Due to sharp curve of 3.7 degree</t>
  </si>
  <si>
    <t>37/H132</t>
  </si>
  <si>
    <t>37/24</t>
  </si>
  <si>
    <t>Due to inadequate transition length</t>
  </si>
  <si>
    <t>H-3717 R</t>
  </si>
  <si>
    <t>37/H150</t>
  </si>
  <si>
    <t>38/4</t>
  </si>
  <si>
    <t>Due to non transition curve</t>
  </si>
  <si>
    <t>38/H116</t>
  </si>
  <si>
    <t>39/825</t>
  </si>
  <si>
    <t>Due to sharp curve of 4 degree</t>
  </si>
  <si>
    <t>40/H134</t>
  </si>
  <si>
    <t>41/930</t>
  </si>
  <si>
    <t>Due to sharp curve of 03 degree</t>
  </si>
  <si>
    <t>44/H110</t>
  </si>
  <si>
    <t>44/846</t>
  </si>
  <si>
    <t>Masjid (MSD) 1.22KM</t>
  </si>
  <si>
    <t>Sandhurst Road (SNRD) 2.08KM</t>
  </si>
  <si>
    <t>Dockyard Road (DKRD) 2.99KM</t>
  </si>
  <si>
    <t>Reay Road (RRD) 4.06KM</t>
  </si>
  <si>
    <t>Cotton Green (CTGN) 5.18KM</t>
  </si>
  <si>
    <t>Sewri (SVE) 7.10KM</t>
  </si>
  <si>
    <t>Wadala Raod (VDLR) 9.11KM</t>
  </si>
  <si>
    <t>GTB Nagar (GTBN) 11.48KM</t>
  </si>
  <si>
    <t>Chunabhatti (CHF) 13.68KM</t>
  </si>
  <si>
    <t>Kurla (CLA) 15.21KM</t>
  </si>
  <si>
    <t>Tilak Nagar (TKNG) 16.41KM</t>
  </si>
  <si>
    <t>Chembur (CMBR) 17.33KM</t>
  </si>
  <si>
    <t>Govandi (GV) 18.99KM</t>
  </si>
  <si>
    <t>Mankhurd (MNKD) 21.12KM</t>
  </si>
  <si>
    <t>Vashi (VSH) 28.89KM</t>
  </si>
  <si>
    <t>Sanpada (SNPD) 30.03KM</t>
  </si>
  <si>
    <t>Jui Nagar (JNJ) 31.34KM</t>
  </si>
  <si>
    <t>Nerul (NEU) 34.47KM</t>
  </si>
  <si>
    <t>Seawood Darave Karave (SWDK) 35.84KM</t>
  </si>
  <si>
    <t>Belapur (BEPR) 38.22KM</t>
  </si>
  <si>
    <t>Kharghar (KHAG) 40.57KM</t>
  </si>
  <si>
    <t>Mansarovar (MANR) 43.47KM</t>
  </si>
  <si>
    <t>Khandeshwar (KNDS) 45.38KM</t>
  </si>
  <si>
    <t>Panvel (PNVL) 48.94KM</t>
  </si>
  <si>
    <t>NEU S-25</t>
  </si>
  <si>
    <t>NEU-TNA</t>
  </si>
  <si>
    <t>THB</t>
  </si>
  <si>
    <t>TN-36</t>
  </si>
  <si>
    <t>33/NT229</t>
  </si>
  <si>
    <t>TN-34</t>
  </si>
  <si>
    <t>33/NT209</t>
  </si>
  <si>
    <t>TN-32</t>
  </si>
  <si>
    <t>32/NT207</t>
  </si>
  <si>
    <t>JNJ S-22</t>
  </si>
  <si>
    <t>TN-26</t>
  </si>
  <si>
    <t>49/NT233</t>
  </si>
  <si>
    <t>TUH S-13</t>
  </si>
  <si>
    <t>TUH</t>
  </si>
  <si>
    <t>Turbhe</t>
  </si>
  <si>
    <t>48/NT237</t>
  </si>
  <si>
    <t>TUH S-5</t>
  </si>
  <si>
    <t>TN-24</t>
  </si>
  <si>
    <t>47/T205</t>
  </si>
  <si>
    <t>KPHN S-14</t>
  </si>
  <si>
    <t>KPHN</t>
  </si>
  <si>
    <t>Koparkhairne</t>
  </si>
  <si>
    <t>46/T203</t>
  </si>
  <si>
    <t>RI: L1= TAPG</t>
  </si>
  <si>
    <t>KPHN S-7</t>
  </si>
  <si>
    <t>KPHN S-3</t>
  </si>
  <si>
    <t>44/T203</t>
  </si>
  <si>
    <t>TN-22</t>
  </si>
  <si>
    <t>TN-20</t>
  </si>
  <si>
    <t>42/T243</t>
  </si>
  <si>
    <t>TN-18</t>
  </si>
  <si>
    <t>42/T205</t>
  </si>
  <si>
    <t>TN-16</t>
  </si>
  <si>
    <t>TN-14</t>
  </si>
  <si>
    <t>40/T211</t>
  </si>
  <si>
    <t>TN-12</t>
  </si>
  <si>
    <t>39/T207</t>
  </si>
  <si>
    <t>TN-10</t>
  </si>
  <si>
    <t>TN-08</t>
  </si>
  <si>
    <t>37/49</t>
  </si>
  <si>
    <t>PSK S-40</t>
  </si>
  <si>
    <t>36/43</t>
  </si>
  <si>
    <t>PSK S-39</t>
  </si>
  <si>
    <t>36/07</t>
  </si>
  <si>
    <t>RI: R1= PSK</t>
  </si>
  <si>
    <t>TN-04</t>
  </si>
  <si>
    <t>34/T243</t>
  </si>
  <si>
    <t>TN-02</t>
  </si>
  <si>
    <t>34/T215</t>
  </si>
  <si>
    <t>TNA S-84</t>
  </si>
  <si>
    <t>33/T229</t>
  </si>
  <si>
    <t>RI: R1= PF-9</t>
  </si>
  <si>
    <t>TNA S-54</t>
  </si>
  <si>
    <t>RI: R1= 6TH LN; R2=UP TH</t>
  </si>
  <si>
    <t>VSH-TUH</t>
  </si>
  <si>
    <t>Due to sharp curve of 2.5 degree &amp; inadequate transition</t>
  </si>
  <si>
    <t>Due to curve of 2.7 degree &amp; inadequate transition length</t>
  </si>
  <si>
    <t>Due to sharp curve of 3.9 degree</t>
  </si>
  <si>
    <t>Due to sharp curve of 7.9 degree</t>
  </si>
  <si>
    <t>TUH-KPHN</t>
  </si>
  <si>
    <t>Due to sharp curve of 3.8 degree</t>
  </si>
  <si>
    <t>Due to curve of 3.4 degree</t>
  </si>
  <si>
    <t>KPHN-AIRL</t>
  </si>
  <si>
    <t>Due to sharp curve of 3.2 degree</t>
  </si>
  <si>
    <t>Due to curve of 3.9 degree &amp; inadequate transition length</t>
  </si>
  <si>
    <t>Due to sharp curve of 1.7 degree</t>
  </si>
  <si>
    <t>Due to sharp curve of 1.7 degree &amp; inadequate transition length</t>
  </si>
  <si>
    <t>GNSL-RABALE</t>
  </si>
  <si>
    <t>Due to Sharp reverse curve.</t>
  </si>
  <si>
    <t>Due to curve of 3.6 degree &amp; inadequate transition length</t>
  </si>
  <si>
    <t>Due to sharp curve of 1.9 degree &amp; inadequate transition length</t>
  </si>
  <si>
    <t>AIRL-TNA</t>
  </si>
  <si>
    <t>Due to sharp curvature</t>
  </si>
  <si>
    <t>NERUL (NEU) 34.47 KM</t>
  </si>
  <si>
    <t>NEU S-26</t>
  </si>
  <si>
    <t>JUINAGAR (JNJ) 31.94 KM</t>
  </si>
  <si>
    <t>TURBHE (TUH) 48.329 KM</t>
  </si>
  <si>
    <t>KOPARKHAIRNE (KPHN) 45.156 KM</t>
  </si>
  <si>
    <t>GHANSOLI (GNSL) 43.640 KM</t>
  </si>
  <si>
    <t>TN - 22</t>
  </si>
  <si>
    <t>RABALE (RABE) 41.326 KM</t>
  </si>
  <si>
    <t>TN - 16</t>
  </si>
  <si>
    <t>AIROLI (AIRL) 35.854 KM</t>
  </si>
  <si>
    <t>TN - 10</t>
  </si>
  <si>
    <t>DIGHA (DIGH) 36/16 KM</t>
  </si>
  <si>
    <t>THANE (TNA) 33.02 KM</t>
  </si>
  <si>
    <t>TNA  S-62</t>
  </si>
  <si>
    <t>TNA-VSH</t>
  </si>
  <si>
    <t>PF-9 STR</t>
  </si>
  <si>
    <t>TN-01</t>
  </si>
  <si>
    <t>33/T128</t>
  </si>
  <si>
    <t>PSK S-32</t>
  </si>
  <si>
    <t>PSK</t>
  </si>
  <si>
    <t>Parshik Tunnel</t>
  </si>
  <si>
    <t>PSK S-36</t>
  </si>
  <si>
    <t>35/24</t>
  </si>
  <si>
    <t>PSK S-38</t>
  </si>
  <si>
    <t>35/62</t>
  </si>
  <si>
    <t>TN-3</t>
  </si>
  <si>
    <t>36/16</t>
  </si>
  <si>
    <t>TN-5</t>
  </si>
  <si>
    <t>37/20</t>
  </si>
  <si>
    <t>TN-7</t>
  </si>
  <si>
    <t>38/10</t>
  </si>
  <si>
    <t>TN-9</t>
  </si>
  <si>
    <t>TN-11</t>
  </si>
  <si>
    <t>39/T140</t>
  </si>
  <si>
    <t>TN-13</t>
  </si>
  <si>
    <t>41/T106</t>
  </si>
  <si>
    <t>TN-15</t>
  </si>
  <si>
    <t>42/T102</t>
  </si>
  <si>
    <t>TN-17</t>
  </si>
  <si>
    <t>43/T102</t>
  </si>
  <si>
    <t>TN-19</t>
  </si>
  <si>
    <t>KPHN S-2</t>
  </si>
  <si>
    <t>44/T116</t>
  </si>
  <si>
    <t>KPHN S-9</t>
  </si>
  <si>
    <t>TN-21</t>
  </si>
  <si>
    <t>46/T114</t>
  </si>
  <si>
    <t>TN-23</t>
  </si>
  <si>
    <t>47/T102</t>
  </si>
  <si>
    <t>TUH S-2</t>
  </si>
  <si>
    <t>47/T120</t>
  </si>
  <si>
    <t>TUH S-12</t>
  </si>
  <si>
    <t>TN - 27</t>
  </si>
  <si>
    <t>30/T172</t>
  </si>
  <si>
    <t>TN - 29</t>
  </si>
  <si>
    <t>30/T116</t>
  </si>
  <si>
    <t>VSH S-4</t>
  </si>
  <si>
    <t>29/T129</t>
  </si>
  <si>
    <t>VSH S-19</t>
  </si>
  <si>
    <t>Due to sharp curve of 3.5 degree</t>
  </si>
  <si>
    <t>Due to sharp curve of 3.4 degree</t>
  </si>
  <si>
    <t>Due to sharp curve of 3.1 degree</t>
  </si>
  <si>
    <t>Due to curve of 1.1 degree &amp; inadequate transition</t>
  </si>
  <si>
    <t>TNA S-62</t>
  </si>
  <si>
    <t>DIGHE (DIGH) 36.7 KM</t>
  </si>
  <si>
    <t>TN - 3</t>
  </si>
  <si>
    <t>TN - 9</t>
  </si>
  <si>
    <t>TN - 15</t>
  </si>
  <si>
    <t>TN - 19</t>
  </si>
  <si>
    <t>TUH S-11</t>
  </si>
  <si>
    <t>SANPADA (SNPD) 50.35 KM</t>
  </si>
  <si>
    <t>VASHI (VSH) 51.53 KM</t>
  </si>
  <si>
    <t>TNA-NEU</t>
  </si>
  <si>
    <t>TN-25</t>
  </si>
  <si>
    <t>49/NT104</t>
  </si>
  <si>
    <t>TN-31</t>
  </si>
  <si>
    <t>31/NT126</t>
  </si>
  <si>
    <t>JNJ S-3</t>
  </si>
  <si>
    <t>TN-33</t>
  </si>
  <si>
    <t>33/NT104</t>
  </si>
  <si>
    <t>NEU S-2</t>
  </si>
  <si>
    <t>33/NT128</t>
  </si>
  <si>
    <t>NEU S-31</t>
  </si>
  <si>
    <t>TNA-AIRL</t>
  </si>
  <si>
    <t>AIRL-KPHN</t>
  </si>
  <si>
    <t>KPHN-TUH</t>
  </si>
  <si>
    <t>TUH-VSH</t>
  </si>
  <si>
    <t>Due to curve of 2.1 degree &amp; inadequate transition</t>
  </si>
  <si>
    <t>Due to sharp curve of 7.7 degree</t>
  </si>
  <si>
    <t>Due to curve of 0.9 degree &amp; inadequate transition</t>
  </si>
  <si>
    <t>Due to curve of 2.5 degree &amp; inadequate transition</t>
  </si>
  <si>
    <t>VSH S-11</t>
  </si>
  <si>
    <t>VSH-TNA</t>
  </si>
  <si>
    <t>VSH S-12</t>
  </si>
  <si>
    <t>VSH S-16</t>
  </si>
  <si>
    <t>29/T239</t>
  </si>
  <si>
    <t>TN - 28</t>
  </si>
  <si>
    <t>30/T225</t>
  </si>
  <si>
    <t>TUH S-14</t>
  </si>
  <si>
    <t>48/35</t>
  </si>
  <si>
    <t>TUH S-6</t>
  </si>
  <si>
    <t>TN - 24</t>
  </si>
  <si>
    <t>TN - 18</t>
  </si>
  <si>
    <t>TN - 14</t>
  </si>
  <si>
    <t>TN - 4</t>
  </si>
  <si>
    <t>PNVL S-29</t>
  </si>
  <si>
    <t>PNVL-DW</t>
  </si>
  <si>
    <t>UP ML</t>
  </si>
  <si>
    <t>Manual</t>
  </si>
  <si>
    <t>PNVL S-25</t>
  </si>
  <si>
    <t>PNVL S-24</t>
  </si>
  <si>
    <t>PNVL S-28</t>
  </si>
  <si>
    <t>UP ML STR</t>
  </si>
  <si>
    <t>PNVL S-26</t>
  </si>
  <si>
    <t>UDL STR</t>
  </si>
  <si>
    <t>PNVL S-21</t>
  </si>
  <si>
    <t>66/31</t>
  </si>
  <si>
    <t>DP-18</t>
  </si>
  <si>
    <t>65/31</t>
  </si>
  <si>
    <t>DP-16</t>
  </si>
  <si>
    <t>64/29</t>
  </si>
  <si>
    <t>KLMG S-2</t>
  </si>
  <si>
    <t>KLMG</t>
  </si>
  <si>
    <t>Kalamboli</t>
  </si>
  <si>
    <t>63/35</t>
  </si>
  <si>
    <t>RI: L1= UP LL; L2= YARD; R1= UDL</t>
  </si>
  <si>
    <t>Book shows two left and one right arms on top of vertical stem</t>
  </si>
  <si>
    <t>KLMG S-12</t>
  </si>
  <si>
    <t>62/31</t>
  </si>
  <si>
    <t>KLMG S-8</t>
  </si>
  <si>
    <t>KLMG S-6</t>
  </si>
  <si>
    <t>KLMG S-14</t>
  </si>
  <si>
    <t>61/31</t>
  </si>
  <si>
    <t>KLMG S-18</t>
  </si>
  <si>
    <t>61/1</t>
  </si>
  <si>
    <t>DP-14</t>
  </si>
  <si>
    <t>60/1</t>
  </si>
  <si>
    <t>Gate-11</t>
  </si>
  <si>
    <t>59/05</t>
  </si>
  <si>
    <t>Gate</t>
  </si>
  <si>
    <t>TPND S-25</t>
  </si>
  <si>
    <t>TPND</t>
  </si>
  <si>
    <t>Taloja</t>
  </si>
  <si>
    <t>57/33</t>
  </si>
  <si>
    <t>RI: L1= UP LL; R1= UDL</t>
  </si>
  <si>
    <t>TPND S-24</t>
  </si>
  <si>
    <t>56/39</t>
  </si>
  <si>
    <t>TPND S-21</t>
  </si>
  <si>
    <t>TPND S-23</t>
  </si>
  <si>
    <t>TPND S-20</t>
  </si>
  <si>
    <t>56/03</t>
  </si>
  <si>
    <t>TPND S-19</t>
  </si>
  <si>
    <t>55/11</t>
  </si>
  <si>
    <t>DP-10</t>
  </si>
  <si>
    <t>54/03</t>
  </si>
  <si>
    <t>Gate-6</t>
  </si>
  <si>
    <t>53/03</t>
  </si>
  <si>
    <t>DP-8</t>
  </si>
  <si>
    <t>52/07</t>
  </si>
  <si>
    <t>DP-6</t>
  </si>
  <si>
    <t>51/11</t>
  </si>
  <si>
    <t>DP-6A</t>
  </si>
  <si>
    <t>50/19</t>
  </si>
  <si>
    <t>NILJ S-27</t>
  </si>
  <si>
    <t>NILJ</t>
  </si>
  <si>
    <t>Nilje</t>
  </si>
  <si>
    <t>49/13</t>
  </si>
  <si>
    <t>NILJ S-21</t>
  </si>
  <si>
    <t>48/5</t>
  </si>
  <si>
    <t>NILJ S-22</t>
  </si>
  <si>
    <t>NILJ S-19</t>
  </si>
  <si>
    <t>NILJ S-16</t>
  </si>
  <si>
    <t>47/25</t>
  </si>
  <si>
    <t>DP-4</t>
  </si>
  <si>
    <t>46/33</t>
  </si>
  <si>
    <t>DP-2</t>
  </si>
  <si>
    <t>45/25</t>
  </si>
  <si>
    <t>DCC S-1</t>
  </si>
  <si>
    <t>DCC</t>
  </si>
  <si>
    <t>Dativali</t>
  </si>
  <si>
    <t>44/30</t>
  </si>
  <si>
    <t>DCC S-3</t>
  </si>
  <si>
    <t>44/9</t>
  </si>
  <si>
    <t>RI: R1= KYN/BSR</t>
  </si>
  <si>
    <t>DW S-69</t>
  </si>
  <si>
    <t>RI: L1= GL-1; L2= GL-2; R1= PF-6</t>
  </si>
  <si>
    <t>DW S-56</t>
  </si>
  <si>
    <t>DW S-57</t>
  </si>
  <si>
    <t>DW S-58</t>
  </si>
  <si>
    <t>GL-1 STR</t>
  </si>
  <si>
    <t>DW S-59</t>
  </si>
  <si>
    <t>GL-2 STR</t>
  </si>
  <si>
    <t>DW S-15</t>
  </si>
  <si>
    <t>DW-PNVL</t>
  </si>
  <si>
    <t>DN ML</t>
  </si>
  <si>
    <t>DW S-16</t>
  </si>
  <si>
    <t>RI: L1=KYN</t>
  </si>
  <si>
    <t>DW S-19</t>
  </si>
  <si>
    <t>DW S-23</t>
  </si>
  <si>
    <t>DW S-24</t>
  </si>
  <si>
    <t>DCC S-5</t>
  </si>
  <si>
    <t>43/26</t>
  </si>
  <si>
    <t>Gate-1</t>
  </si>
  <si>
    <t>44/33</t>
  </si>
  <si>
    <t>DP-1</t>
  </si>
  <si>
    <t>45/24</t>
  </si>
  <si>
    <t>DP-3</t>
  </si>
  <si>
    <t>46/20</t>
  </si>
  <si>
    <t>NILJ S-3</t>
  </si>
  <si>
    <t>47/18</t>
  </si>
  <si>
    <t>RI: L1=UDL</t>
  </si>
  <si>
    <t>NILJ S-9</t>
  </si>
  <si>
    <t>48/34</t>
  </si>
  <si>
    <t>NILJ S-8</t>
  </si>
  <si>
    <t>NILJ S-14</t>
  </si>
  <si>
    <t>49/12</t>
  </si>
  <si>
    <t>DP-3A</t>
  </si>
  <si>
    <t>50/12</t>
  </si>
  <si>
    <t>DP-5</t>
  </si>
  <si>
    <t>50/38</t>
  </si>
  <si>
    <t>DP-7</t>
  </si>
  <si>
    <t>51/28</t>
  </si>
  <si>
    <t>52/20</t>
  </si>
  <si>
    <t>DP-9</t>
  </si>
  <si>
    <t>53/20</t>
  </si>
  <si>
    <t>DP-11</t>
  </si>
  <si>
    <t>54/22</t>
  </si>
  <si>
    <t>TPND S-1</t>
  </si>
  <si>
    <t>55/12</t>
  </si>
  <si>
    <t>TPND S-2</t>
  </si>
  <si>
    <t>56/04</t>
  </si>
  <si>
    <t>TPND S-3</t>
  </si>
  <si>
    <t>TPND S-4</t>
  </si>
  <si>
    <t>TPND S-8</t>
  </si>
  <si>
    <t>55/20</t>
  </si>
  <si>
    <t>58/26</t>
  </si>
  <si>
    <t>DP-13</t>
  </si>
  <si>
    <t>59/30</t>
  </si>
  <si>
    <t>KLMG S-21</t>
  </si>
  <si>
    <t>60/36</t>
  </si>
  <si>
    <t>RI: R1=KLMG S-51; R2=KLMG S-52</t>
  </si>
  <si>
    <t>KLMG S-25</t>
  </si>
  <si>
    <t>62/12</t>
  </si>
  <si>
    <t>KLMG S-33</t>
  </si>
  <si>
    <t>63/10</t>
  </si>
  <si>
    <t>KLMG S-31</t>
  </si>
  <si>
    <t>KLMG S-29</t>
  </si>
  <si>
    <t>KLMG YD STR</t>
  </si>
  <si>
    <t>KLMG S-35</t>
  </si>
  <si>
    <t>63/30</t>
  </si>
  <si>
    <t>DP-17</t>
  </si>
  <si>
    <t>64/30</t>
  </si>
  <si>
    <t>DP-19</t>
  </si>
  <si>
    <t>65/28</t>
  </si>
  <si>
    <t>PNVL S-3</t>
  </si>
  <si>
    <t>66/28</t>
  </si>
  <si>
    <t>RI: L1=UDL; L2= PF-6; L3= PF-7; R1= PF-5</t>
  </si>
  <si>
    <t>Book shows three left and one right arms on top of vertical stem</t>
  </si>
  <si>
    <t>PNVL S-9</t>
  </si>
  <si>
    <t>RI: R1=ROHA; R2=JSLE</t>
  </si>
  <si>
    <t>PNVL S-11</t>
  </si>
  <si>
    <t>RI: L1=KJT; R1=JSLE</t>
  </si>
  <si>
    <t>PNVL S-15</t>
  </si>
  <si>
    <t>RI: L1=ROHA; L2=KJT</t>
  </si>
  <si>
    <t>PNVL S-12</t>
  </si>
  <si>
    <t xml:space="preserve">Left </t>
  </si>
  <si>
    <t>PNVL S-13</t>
  </si>
  <si>
    <t>DN ML STR</t>
  </si>
  <si>
    <t>KYN-KJT</t>
  </si>
  <si>
    <t>RI: R1=NE</t>
  </si>
  <si>
    <t>KYN S-82</t>
  </si>
  <si>
    <t>54/26</t>
  </si>
  <si>
    <t>SE-5511</t>
  </si>
  <si>
    <t>55/28</t>
  </si>
  <si>
    <t>SE-5609</t>
  </si>
  <si>
    <t>56/28</t>
  </si>
  <si>
    <t>SE-5707</t>
  </si>
  <si>
    <t>57/24</t>
  </si>
  <si>
    <t>Gate-4</t>
  </si>
  <si>
    <t>ABH S-2</t>
  </si>
  <si>
    <t>ABH</t>
  </si>
  <si>
    <t>Ambernath</t>
  </si>
  <si>
    <t>59/4</t>
  </si>
  <si>
    <t>ABH S-6</t>
  </si>
  <si>
    <t>RI: L1=DN LL</t>
  </si>
  <si>
    <t>ABH S-15</t>
  </si>
  <si>
    <t>60/32</t>
  </si>
  <si>
    <t>ABH S-18</t>
  </si>
  <si>
    <t>61/20</t>
  </si>
  <si>
    <t>SE-6205</t>
  </si>
  <si>
    <t>62/10</t>
  </si>
  <si>
    <t>Gate-7</t>
  </si>
  <si>
    <t>63/18</t>
  </si>
  <si>
    <t>SE-6315</t>
  </si>
  <si>
    <t>63/44</t>
  </si>
  <si>
    <t>SE-6411</t>
  </si>
  <si>
    <t>64/24</t>
  </si>
  <si>
    <t>SE-6513</t>
  </si>
  <si>
    <t>65/14</t>
  </si>
  <si>
    <t>SE-6515</t>
  </si>
  <si>
    <t>65/40</t>
  </si>
  <si>
    <t>BUD S-2</t>
  </si>
  <si>
    <t>BUD</t>
  </si>
  <si>
    <t>Badlapur</t>
  </si>
  <si>
    <t>66/22</t>
  </si>
  <si>
    <t>BUD S-9</t>
  </si>
  <si>
    <t>BUD S-12</t>
  </si>
  <si>
    <t>68/32</t>
  </si>
  <si>
    <t>BUD S-14</t>
  </si>
  <si>
    <t>68/50</t>
  </si>
  <si>
    <t>SE-6913</t>
  </si>
  <si>
    <t>69/36</t>
  </si>
  <si>
    <t>SE-7013</t>
  </si>
  <si>
    <t>70/34</t>
  </si>
  <si>
    <t>SE-7113</t>
  </si>
  <si>
    <t>71/34</t>
  </si>
  <si>
    <t>SE-7223</t>
  </si>
  <si>
    <t>72/40</t>
  </si>
  <si>
    <t>SE-7307</t>
  </si>
  <si>
    <t>73/16</t>
  </si>
  <si>
    <t>SE-7403</t>
  </si>
  <si>
    <t>74/08</t>
  </si>
  <si>
    <t>SE-7413</t>
  </si>
  <si>
    <t>74/42</t>
  </si>
  <si>
    <t>SE-7507</t>
  </si>
  <si>
    <t>75/20</t>
  </si>
  <si>
    <t>Gate-16</t>
  </si>
  <si>
    <t>75/46</t>
  </si>
  <si>
    <t>SE-7613</t>
  </si>
  <si>
    <t>76/36</t>
  </si>
  <si>
    <t>VGI S-2</t>
  </si>
  <si>
    <t>VGI</t>
  </si>
  <si>
    <t>Vangani</t>
  </si>
  <si>
    <t>77/12</t>
  </si>
  <si>
    <t>VGI S-7</t>
  </si>
  <si>
    <t>77/30</t>
  </si>
  <si>
    <t>VGI S-3</t>
  </si>
  <si>
    <t>Extreme Left</t>
  </si>
  <si>
    <t>VGI S-8</t>
  </si>
  <si>
    <t>78/48</t>
  </si>
  <si>
    <t>Gate-18</t>
  </si>
  <si>
    <t>79/38</t>
  </si>
  <si>
    <t>SE-8009</t>
  </si>
  <si>
    <t>80/20</t>
  </si>
  <si>
    <t>Gate-19</t>
  </si>
  <si>
    <t>81/08</t>
  </si>
  <si>
    <t>SE-8115</t>
  </si>
  <si>
    <t>81/34</t>
  </si>
  <si>
    <t>SE-8205</t>
  </si>
  <si>
    <t>82/14</t>
  </si>
  <si>
    <t>SE-8303</t>
  </si>
  <si>
    <t>83/08</t>
  </si>
  <si>
    <t>Gate- 20</t>
  </si>
  <si>
    <t>83/40</t>
  </si>
  <si>
    <t>NRL S-27</t>
  </si>
  <si>
    <t>NRL</t>
  </si>
  <si>
    <t>Neral</t>
  </si>
  <si>
    <t>84/26</t>
  </si>
  <si>
    <t>RI: L1=DN LL; R1=UDL</t>
  </si>
  <si>
    <t>NRL S-21</t>
  </si>
  <si>
    <t>85/40</t>
  </si>
  <si>
    <t>NRL S-18</t>
  </si>
  <si>
    <t>NRL S-17</t>
  </si>
  <si>
    <t>87/06</t>
  </si>
  <si>
    <t>SE-8801</t>
  </si>
  <si>
    <t>87/46</t>
  </si>
  <si>
    <t>SE-8813</t>
  </si>
  <si>
    <t>88/32</t>
  </si>
  <si>
    <t>Gate-22</t>
  </si>
  <si>
    <t>89/24</t>
  </si>
  <si>
    <t>SE-9007</t>
  </si>
  <si>
    <t>90/18</t>
  </si>
  <si>
    <t>SE-9105</t>
  </si>
  <si>
    <t>91/10</t>
  </si>
  <si>
    <t>BVS S-2</t>
  </si>
  <si>
    <t>BVS</t>
  </si>
  <si>
    <t>Bhivpuri</t>
  </si>
  <si>
    <t>92/06</t>
  </si>
  <si>
    <t>BVS S-3</t>
  </si>
  <si>
    <t>93/16</t>
  </si>
  <si>
    <t>BVS S-8</t>
  </si>
  <si>
    <t>94/06</t>
  </si>
  <si>
    <t>Gate-25</t>
  </si>
  <si>
    <t>95/02</t>
  </si>
  <si>
    <t>SE-9511</t>
  </si>
  <si>
    <t>95/30</t>
  </si>
  <si>
    <t>Gate-26</t>
  </si>
  <si>
    <t>96/10</t>
  </si>
  <si>
    <t>SE-9615</t>
  </si>
  <si>
    <t>96/40</t>
  </si>
  <si>
    <t>Gate-27</t>
  </si>
  <si>
    <t>97/30</t>
  </si>
  <si>
    <t>SE-9803</t>
  </si>
  <si>
    <t>98/08</t>
  </si>
  <si>
    <t>KJT S-2</t>
  </si>
  <si>
    <t>KJT</t>
  </si>
  <si>
    <t>Karjat</t>
  </si>
  <si>
    <t>98/30</t>
  </si>
  <si>
    <t>RI: R1= S-14; R2=EMU PF; R3= PF-3</t>
  </si>
  <si>
    <t>Book shows three right arm on top of vertical stem</t>
  </si>
  <si>
    <t>KJT S-132</t>
  </si>
  <si>
    <t>KJT-KYN</t>
  </si>
  <si>
    <t>RI: R1=KYN</t>
  </si>
  <si>
    <t>KJT S-133</t>
  </si>
  <si>
    <t>EMU PF STR</t>
  </si>
  <si>
    <t>RI: L1=PNVL</t>
  </si>
  <si>
    <t>KJT S-134</t>
  </si>
  <si>
    <t>KJT S-135</t>
  </si>
  <si>
    <t>KJT S-137</t>
  </si>
  <si>
    <t>KJT S-142</t>
  </si>
  <si>
    <t>98/27</t>
  </si>
  <si>
    <t>98/07</t>
  </si>
  <si>
    <t>SE-9706</t>
  </si>
  <si>
    <t>97/17</t>
  </si>
  <si>
    <t>96/29</t>
  </si>
  <si>
    <t>SE-9602</t>
  </si>
  <si>
    <t>96/03</t>
  </si>
  <si>
    <t>95/25</t>
  </si>
  <si>
    <t>SE-9410</t>
  </si>
  <si>
    <t>94/27</t>
  </si>
  <si>
    <t>BVS S-20</t>
  </si>
  <si>
    <t>93/47</t>
  </si>
  <si>
    <t>RI: L1=UP LL</t>
  </si>
  <si>
    <t>BVS S-19</t>
  </si>
  <si>
    <t>BVS S-16</t>
  </si>
  <si>
    <t>91/27</t>
  </si>
  <si>
    <t>SE-9012</t>
  </si>
  <si>
    <t>90/35</t>
  </si>
  <si>
    <t>90/03</t>
  </si>
  <si>
    <t>SE-8906</t>
  </si>
  <si>
    <t>89/17</t>
  </si>
  <si>
    <t>SE-8808</t>
  </si>
  <si>
    <t>88/21</t>
  </si>
  <si>
    <t>SE-8710</t>
  </si>
  <si>
    <t>87/27</t>
  </si>
  <si>
    <t>NRL S-3</t>
  </si>
  <si>
    <t>86/59</t>
  </si>
  <si>
    <t>NRL S-6</t>
  </si>
  <si>
    <t>NRL S-12</t>
  </si>
  <si>
    <t>85/07</t>
  </si>
  <si>
    <t>Gate-20</t>
  </si>
  <si>
    <t>84/15</t>
  </si>
  <si>
    <t>SE-8308</t>
  </si>
  <si>
    <t>83/21</t>
  </si>
  <si>
    <t>SE-8214</t>
  </si>
  <si>
    <t>82/35</t>
  </si>
  <si>
    <t>SE-8206</t>
  </si>
  <si>
    <t>82/13</t>
  </si>
  <si>
    <t>81/25</t>
  </si>
  <si>
    <t>SE-8014</t>
  </si>
  <si>
    <t>80/37</t>
  </si>
  <si>
    <t>80/09</t>
  </si>
  <si>
    <t>SE-7912</t>
  </si>
  <si>
    <t>79/31</t>
  </si>
  <si>
    <t>VGI S-25</t>
  </si>
  <si>
    <t>79/01</t>
  </si>
  <si>
    <t>VGI S-24</t>
  </si>
  <si>
    <t>VGI S-21</t>
  </si>
  <si>
    <t>77/17</t>
  </si>
  <si>
    <t>76/17</t>
  </si>
  <si>
    <t>SE-7514</t>
  </si>
  <si>
    <t>75/35</t>
  </si>
  <si>
    <t>SE-7504</t>
  </si>
  <si>
    <t>75/13</t>
  </si>
  <si>
    <t>SE-7406</t>
  </si>
  <si>
    <t>74/19</t>
  </si>
  <si>
    <t>SE-7308</t>
  </si>
  <si>
    <t>73/21</t>
  </si>
  <si>
    <t>SE-7220</t>
  </si>
  <si>
    <t>72/31</t>
  </si>
  <si>
    <t>SE-7114</t>
  </si>
  <si>
    <t>71/33</t>
  </si>
  <si>
    <t>SE-7014</t>
  </si>
  <si>
    <t>70/37</t>
  </si>
  <si>
    <t>SE-6914</t>
  </si>
  <si>
    <t>69/39</t>
  </si>
  <si>
    <t>BUD S-28</t>
  </si>
  <si>
    <t>69/01</t>
  </si>
  <si>
    <t>BUD S-24</t>
  </si>
  <si>
    <t>67/41</t>
  </si>
  <si>
    <t>BUD S-17</t>
  </si>
  <si>
    <t>BUD S-16</t>
  </si>
  <si>
    <t>SE-6526</t>
  </si>
  <si>
    <t>65/27</t>
  </si>
  <si>
    <t>SE-6410</t>
  </si>
  <si>
    <t>64/27</t>
  </si>
  <si>
    <t>63/25</t>
  </si>
  <si>
    <t>SE-6214</t>
  </si>
  <si>
    <t>62/41</t>
  </si>
  <si>
    <t>SE-6202</t>
  </si>
  <si>
    <t>62/05</t>
  </si>
  <si>
    <t>ABH S-38</t>
  </si>
  <si>
    <t>61/9A</t>
  </si>
  <si>
    <t>ABH S-25</t>
  </si>
  <si>
    <t>60/05</t>
  </si>
  <si>
    <t>ABH S-22</t>
  </si>
  <si>
    <t xml:space="preserve">Gate-4 </t>
  </si>
  <si>
    <t>58/35</t>
  </si>
  <si>
    <t>SE-5714</t>
  </si>
  <si>
    <t>57/41</t>
  </si>
  <si>
    <t>SE-5616</t>
  </si>
  <si>
    <t>SE-5602</t>
  </si>
  <si>
    <t>56/09</t>
  </si>
  <si>
    <t>KYN S-84</t>
  </si>
  <si>
    <t>55/7</t>
  </si>
  <si>
    <t>RI: L1=YARD</t>
  </si>
  <si>
    <t>KYN S-81</t>
  </si>
  <si>
    <t>54/19</t>
  </si>
  <si>
    <t>RI: L1=PF-6; L2=PF-7; R1=S-63; R2=PF-3</t>
  </si>
  <si>
    <t>Book shows two left and two right arms on top of vertical stem</t>
  </si>
  <si>
    <t>KYN-KSRA</t>
  </si>
  <si>
    <t>RI:L1=NE</t>
  </si>
  <si>
    <t>KYN S-72</t>
  </si>
  <si>
    <t>54/08</t>
  </si>
  <si>
    <t>NE-5501</t>
  </si>
  <si>
    <t>55/02</t>
  </si>
  <si>
    <t>NE-5515</t>
  </si>
  <si>
    <t>55/42</t>
  </si>
  <si>
    <t>NE-5611</t>
  </si>
  <si>
    <t>56/22</t>
  </si>
  <si>
    <t>NE-5703</t>
  </si>
  <si>
    <t>57/06</t>
  </si>
  <si>
    <t>NE-5783</t>
  </si>
  <si>
    <t>57/32</t>
  </si>
  <si>
    <t>NE-5829</t>
  </si>
  <si>
    <t>58/10</t>
  </si>
  <si>
    <t>NE-5891</t>
  </si>
  <si>
    <t>58/40</t>
  </si>
  <si>
    <t>Gate-48</t>
  </si>
  <si>
    <t>59/26</t>
  </si>
  <si>
    <t>NE-6003</t>
  </si>
  <si>
    <t>60/08</t>
  </si>
  <si>
    <t>NE-6101</t>
  </si>
  <si>
    <t>60/38</t>
  </si>
  <si>
    <t>NE-6111</t>
  </si>
  <si>
    <t>61/28</t>
  </si>
  <si>
    <t>TLA S-2</t>
  </si>
  <si>
    <t>TLA</t>
  </si>
  <si>
    <t>Titwala</t>
  </si>
  <si>
    <t>62/18</t>
  </si>
  <si>
    <t>RI:L1= DN LL</t>
  </si>
  <si>
    <t>TLA S-3</t>
  </si>
  <si>
    <t>63/42</t>
  </si>
  <si>
    <t>RI:L1= PF-2 S-6</t>
  </si>
  <si>
    <t>TLA S-5</t>
  </si>
  <si>
    <t>TLA S-8</t>
  </si>
  <si>
    <t>64/34</t>
  </si>
  <si>
    <t>Gate DIST</t>
  </si>
  <si>
    <t>65/04</t>
  </si>
  <si>
    <t>Distant</t>
  </si>
  <si>
    <t>Gate-52</t>
  </si>
  <si>
    <t>66/08</t>
  </si>
  <si>
    <t>IBS DIST</t>
  </si>
  <si>
    <t>66/46</t>
  </si>
  <si>
    <t>IBS S-9</t>
  </si>
  <si>
    <t>67/50</t>
  </si>
  <si>
    <t>IBS</t>
  </si>
  <si>
    <t>Gate-55</t>
  </si>
  <si>
    <t>69/18</t>
  </si>
  <si>
    <t>KDV S-3</t>
  </si>
  <si>
    <t>KDV</t>
  </si>
  <si>
    <t>Khadavli</t>
  </si>
  <si>
    <t>70/42</t>
  </si>
  <si>
    <t>Home</t>
  </si>
  <si>
    <t>KDV S-12</t>
  </si>
  <si>
    <t>72/10</t>
  </si>
  <si>
    <t>Starter</t>
  </si>
  <si>
    <t>KDV S-13</t>
  </si>
  <si>
    <t>72/36</t>
  </si>
  <si>
    <t>Advance Starter</t>
  </si>
  <si>
    <t>IB DIST</t>
  </si>
  <si>
    <t>74/18</t>
  </si>
  <si>
    <t>IBS Distant</t>
  </si>
  <si>
    <t>IBS S-14</t>
  </si>
  <si>
    <t>75/18</t>
  </si>
  <si>
    <t>VSD DIST</t>
  </si>
  <si>
    <t>VSD</t>
  </si>
  <si>
    <t>Vasind</t>
  </si>
  <si>
    <t>77/6</t>
  </si>
  <si>
    <t>VSD S-2</t>
  </si>
  <si>
    <t>78/22</t>
  </si>
  <si>
    <t>RI:L1= DN LL; L2=UDL</t>
  </si>
  <si>
    <t>VSD S-3</t>
  </si>
  <si>
    <t>79/34</t>
  </si>
  <si>
    <t>VSD S-11</t>
  </si>
  <si>
    <t>80/02</t>
  </si>
  <si>
    <t>Gate-64</t>
  </si>
  <si>
    <t>80/22</t>
  </si>
  <si>
    <t>IBS S-12</t>
  </si>
  <si>
    <t>81/46</t>
  </si>
  <si>
    <t>ASO DIST</t>
  </si>
  <si>
    <t>ASO</t>
  </si>
  <si>
    <t>Asangaon</t>
  </si>
  <si>
    <t>83/24</t>
  </si>
  <si>
    <t>ASO S-2</t>
  </si>
  <si>
    <t>84/24</t>
  </si>
  <si>
    <t>RI:L1= DN LL; R1=PF-2</t>
  </si>
  <si>
    <t>ASO S-7</t>
  </si>
  <si>
    <t>85/34</t>
  </si>
  <si>
    <t>ASO S-12</t>
  </si>
  <si>
    <t>86/10</t>
  </si>
  <si>
    <t>89/2</t>
  </si>
  <si>
    <t>90/12</t>
  </si>
  <si>
    <t>91/44</t>
  </si>
  <si>
    <t>Gate-69</t>
  </si>
  <si>
    <t>92/40</t>
  </si>
  <si>
    <t>ATG S-3</t>
  </si>
  <si>
    <t>ATG</t>
  </si>
  <si>
    <t>Atgaon</t>
  </si>
  <si>
    <t>94/18</t>
  </si>
  <si>
    <t>ATG S-12</t>
  </si>
  <si>
    <t>95/24</t>
  </si>
  <si>
    <t>ATG S-13</t>
  </si>
  <si>
    <t>95/44</t>
  </si>
  <si>
    <t>96/26</t>
  </si>
  <si>
    <t>98/06</t>
  </si>
  <si>
    <t>THS DIST</t>
  </si>
  <si>
    <t>THS</t>
  </si>
  <si>
    <t>Thansit</t>
  </si>
  <si>
    <t>100/2</t>
  </si>
  <si>
    <t>DIstant</t>
  </si>
  <si>
    <t>THS S-2</t>
  </si>
  <si>
    <t>101/06</t>
  </si>
  <si>
    <t>102/38</t>
  </si>
  <si>
    <t>THS S-5</t>
  </si>
  <si>
    <t>103/38</t>
  </si>
  <si>
    <t>KE DIST</t>
  </si>
  <si>
    <t>KE</t>
  </si>
  <si>
    <t>Khardi</t>
  </si>
  <si>
    <t>105/08</t>
  </si>
  <si>
    <t>KE S-3</t>
  </si>
  <si>
    <t>106/08</t>
  </si>
  <si>
    <t>KE S-12</t>
  </si>
  <si>
    <t>107/24</t>
  </si>
  <si>
    <t>KE S-13</t>
  </si>
  <si>
    <t>107/44</t>
  </si>
  <si>
    <t>DIST</t>
  </si>
  <si>
    <t>109/06</t>
  </si>
  <si>
    <t>KE S-14</t>
  </si>
  <si>
    <t>110/06</t>
  </si>
  <si>
    <t>OMB DIST</t>
  </si>
  <si>
    <t>OMB</t>
  </si>
  <si>
    <t>Umbermali</t>
  </si>
  <si>
    <t>112/14</t>
  </si>
  <si>
    <t>OMB S-2</t>
  </si>
  <si>
    <t>113/26</t>
  </si>
  <si>
    <t>115/50</t>
  </si>
  <si>
    <t>IBS S-5</t>
  </si>
  <si>
    <t>117/04</t>
  </si>
  <si>
    <t>KSRA DIST</t>
  </si>
  <si>
    <t>KSRA</t>
  </si>
  <si>
    <t>Kasara</t>
  </si>
  <si>
    <t>118/16</t>
  </si>
  <si>
    <t>KSRA S-2</t>
  </si>
  <si>
    <t>119/16</t>
  </si>
  <si>
    <t>RI:L1= RD-3; L2=RD-2; L3=RD-1; R1=; R2=; R3=</t>
  </si>
  <si>
    <t>Book shows three left and three right arms on top of vertical stem</t>
  </si>
  <si>
    <t>KSRA S-46</t>
  </si>
  <si>
    <t>RI:R1= DN MID</t>
  </si>
  <si>
    <t>DN NE LINE</t>
  </si>
  <si>
    <t>54/9</t>
  </si>
  <si>
    <t>54/13</t>
  </si>
  <si>
    <t>Due to curvature</t>
  </si>
  <si>
    <t>63/48</t>
  </si>
  <si>
    <t>64/38</t>
  </si>
  <si>
    <t>Due to curve</t>
  </si>
  <si>
    <t>71/2</t>
  </si>
  <si>
    <t>71/20</t>
  </si>
  <si>
    <t>Inadequare cant on turnout</t>
  </si>
  <si>
    <t>79/26</t>
  </si>
  <si>
    <t>79/40</t>
  </si>
  <si>
    <t>89/32</t>
  </si>
  <si>
    <t>90/48</t>
  </si>
  <si>
    <t>Sharp Curve</t>
  </si>
  <si>
    <t>ASO S-14</t>
  </si>
  <si>
    <t>91/36</t>
  </si>
  <si>
    <t>GATE DIST OF S-4</t>
  </si>
  <si>
    <t>95/26</t>
  </si>
  <si>
    <t>95/32</t>
  </si>
  <si>
    <t>Inadequare cant on contra flexture T/out on 2.1 degree curve</t>
  </si>
  <si>
    <t>119/38</t>
  </si>
  <si>
    <t>119/40</t>
  </si>
  <si>
    <t>Cant defiecency on T/out</t>
  </si>
  <si>
    <t>KSRA S-48</t>
  </si>
  <si>
    <t>SHAHAD (SHD) 56.25 KM</t>
  </si>
  <si>
    <t>AMBIVLI (ABY) 58.96 KM</t>
  </si>
  <si>
    <t>ABY S-1</t>
  </si>
  <si>
    <t>TITWALA (TLA) 64.05 KM</t>
  </si>
  <si>
    <t>KHADAVLI (KDV) 71.40 KM</t>
  </si>
  <si>
    <t>VASIND (VSD) 79.40 KM</t>
  </si>
  <si>
    <t>VSD S-4</t>
  </si>
  <si>
    <t>ASANGAON (ASO) 85.43 KM</t>
  </si>
  <si>
    <t>ATGAON (ATG) 94.87 KM</t>
  </si>
  <si>
    <t>THANSIT (THS) 101.00 KM</t>
  </si>
  <si>
    <t>KHARDI (KE) 107.03 KM</t>
  </si>
  <si>
    <t>UMBERMALI (OMB) 113.43 KM</t>
  </si>
  <si>
    <t>IB DIST OF OMB S-5</t>
  </si>
  <si>
    <t>KASARA (KSRA) 120.56 KM</t>
  </si>
  <si>
    <t>KSRA-IGP</t>
  </si>
  <si>
    <t>RI:R1= DN MID LINE</t>
  </si>
  <si>
    <t>RI:L1= DN MID LINE</t>
  </si>
  <si>
    <t>KSRA S-49</t>
  </si>
  <si>
    <t>KSRA S-43</t>
  </si>
  <si>
    <t>KSRA DN YD-1 STR</t>
  </si>
  <si>
    <t>KSRA S-44</t>
  </si>
  <si>
    <t>KSRA DN YD-2 STR</t>
  </si>
  <si>
    <t>KSRA S-45</t>
  </si>
  <si>
    <t>KSRA DN YD-3 STR</t>
  </si>
  <si>
    <t>KSRA S-65</t>
  </si>
  <si>
    <t>121/132</t>
  </si>
  <si>
    <t>TGR-3 Distant</t>
  </si>
  <si>
    <t>TGR-3</t>
  </si>
  <si>
    <t>123/108</t>
  </si>
  <si>
    <t>TGR-3 S-2</t>
  </si>
  <si>
    <t>124/106</t>
  </si>
  <si>
    <t>TGR-3 S-6</t>
  </si>
  <si>
    <t>125/120</t>
  </si>
  <si>
    <t>TGR-2 Distant</t>
  </si>
  <si>
    <t>TGR-2</t>
  </si>
  <si>
    <t>130/108</t>
  </si>
  <si>
    <t>TGR-2 S-2</t>
  </si>
  <si>
    <t>130/102</t>
  </si>
  <si>
    <t>TGR-2 S-6</t>
  </si>
  <si>
    <t>131/150</t>
  </si>
  <si>
    <t>TGR-1 Distant</t>
  </si>
  <si>
    <t>TGR-1</t>
  </si>
  <si>
    <t>133/138</t>
  </si>
  <si>
    <t>TGR-1 S-1</t>
  </si>
  <si>
    <t>134/132</t>
  </si>
  <si>
    <t>IGP S-1</t>
  </si>
  <si>
    <t>IGP</t>
  </si>
  <si>
    <t>135/118</t>
  </si>
  <si>
    <t>RI:L1=DN YD-1; L2=DN YD-2; L3=DN YD-3; R1=PF-2; R2=PF-3; R3=PF-4</t>
  </si>
  <si>
    <t>DN MID LINE</t>
  </si>
  <si>
    <t>RI:L1= DN ML</t>
  </si>
  <si>
    <t>KSRA S-66</t>
  </si>
  <si>
    <t>121/231</t>
  </si>
  <si>
    <t>123/207</t>
  </si>
  <si>
    <t>TGR-3 S-3</t>
  </si>
  <si>
    <t>124/207</t>
  </si>
  <si>
    <t>TGR-3 S-7</t>
  </si>
  <si>
    <t>125/13M</t>
  </si>
  <si>
    <t>129/255</t>
  </si>
  <si>
    <t>TGR-2 S-3</t>
  </si>
  <si>
    <t>130/259</t>
  </si>
  <si>
    <t>TGR-2 S-7</t>
  </si>
  <si>
    <t>131/251</t>
  </si>
  <si>
    <t>133/217</t>
  </si>
  <si>
    <t>TGR-I S-2</t>
  </si>
  <si>
    <t>TGR-I</t>
  </si>
  <si>
    <t>134/223</t>
  </si>
  <si>
    <t>IGP S-2</t>
  </si>
  <si>
    <t>Igatpuri</t>
  </si>
  <si>
    <t>135/215</t>
  </si>
  <si>
    <t>RI:L1= PF-1; L2= GL-1,2; L3= GL-3; R1= PF-3; R2= PF-4</t>
  </si>
  <si>
    <t>IGP S-32</t>
  </si>
  <si>
    <t>IGP-KSRA</t>
  </si>
  <si>
    <t>RI:R1= UP MID LINE</t>
  </si>
  <si>
    <t>IGP S-38</t>
  </si>
  <si>
    <t>IGP S-36</t>
  </si>
  <si>
    <t>FROM PF-4</t>
  </si>
  <si>
    <t>IGP S-58</t>
  </si>
  <si>
    <t>135/323</t>
  </si>
  <si>
    <t>TGR-1 S-6</t>
  </si>
  <si>
    <t>135/305</t>
  </si>
  <si>
    <t>TGR-1 S-5</t>
  </si>
  <si>
    <t>134/339</t>
  </si>
  <si>
    <t>133/317</t>
  </si>
  <si>
    <t>TGR-2 S-9</t>
  </si>
  <si>
    <t>132/317</t>
  </si>
  <si>
    <t>TGR-2 S-5</t>
  </si>
  <si>
    <t>131/341</t>
  </si>
  <si>
    <t>126/323</t>
  </si>
  <si>
    <t>TGR-3 S-9</t>
  </si>
  <si>
    <t>125/317</t>
  </si>
  <si>
    <t>TGR-3 S-5</t>
  </si>
  <si>
    <t>124/353</t>
  </si>
  <si>
    <t>KSRA Distant</t>
  </si>
  <si>
    <t>122/341</t>
  </si>
  <si>
    <t>KSRA S-68</t>
  </si>
  <si>
    <t>121/341</t>
  </si>
  <si>
    <t>RI:R1= DN MID LINE; L1=UP YD</t>
  </si>
  <si>
    <t>UP MID LINE</t>
  </si>
  <si>
    <t>IGP S-59</t>
  </si>
  <si>
    <t>135/225</t>
  </si>
  <si>
    <t>TGR-1 S-4</t>
  </si>
  <si>
    <t>135/207</t>
  </si>
  <si>
    <t>RI:L1= UP ML</t>
  </si>
  <si>
    <t>TGR-1 S-3</t>
  </si>
  <si>
    <t>134/241</t>
  </si>
  <si>
    <t>133/219</t>
  </si>
  <si>
    <t>TGR-2 S-8</t>
  </si>
  <si>
    <t>132/217</t>
  </si>
  <si>
    <t>TGR-2 S-4</t>
  </si>
  <si>
    <t>131/205</t>
  </si>
  <si>
    <t>126/221</t>
  </si>
  <si>
    <t>TGR-3 S-8</t>
  </si>
  <si>
    <t>125/221</t>
  </si>
  <si>
    <t>TGR-3 S-4</t>
  </si>
  <si>
    <t>124/249</t>
  </si>
  <si>
    <t>123/201</t>
  </si>
  <si>
    <t>KSRA S-69</t>
  </si>
  <si>
    <t>121/245</t>
  </si>
  <si>
    <t>RI:L1= UP ML; L2= UP YD; R1= PF-1</t>
  </si>
  <si>
    <t>KSRA S-23</t>
  </si>
  <si>
    <t>KSRA-KYN</t>
  </si>
  <si>
    <t>KSRA S-24</t>
  </si>
  <si>
    <t>RI:R1= UP NE</t>
  </si>
  <si>
    <t>KSRA S-28</t>
  </si>
  <si>
    <t>KSRA S-3</t>
  </si>
  <si>
    <t>119/25</t>
  </si>
  <si>
    <t>Advanced Starter</t>
  </si>
  <si>
    <t>118/35</t>
  </si>
  <si>
    <t>IBS S-1</t>
  </si>
  <si>
    <t>117/33</t>
  </si>
  <si>
    <t xml:space="preserve">OMB DIST </t>
  </si>
  <si>
    <t>115/27</t>
  </si>
  <si>
    <t>OMB S-9</t>
  </si>
  <si>
    <t>113/47</t>
  </si>
  <si>
    <t>108/40</t>
  </si>
  <si>
    <t>IBS S-6</t>
  </si>
  <si>
    <t>110/5</t>
  </si>
  <si>
    <t>108/41</t>
  </si>
  <si>
    <t>KE S-27</t>
  </si>
  <si>
    <t>107/41</t>
  </si>
  <si>
    <t>RI:L1=UP LL</t>
  </si>
  <si>
    <t>KE S-18</t>
  </si>
  <si>
    <t>KE S-17</t>
  </si>
  <si>
    <t>106/13</t>
  </si>
  <si>
    <t>105/17</t>
  </si>
  <si>
    <t>IBS S-16</t>
  </si>
  <si>
    <t>104/15</t>
  </si>
  <si>
    <t>102/07</t>
  </si>
  <si>
    <t>THS S-9</t>
  </si>
  <si>
    <t>100/33</t>
  </si>
  <si>
    <t>99/7</t>
  </si>
  <si>
    <t>98/9</t>
  </si>
  <si>
    <t>ATG DIST</t>
  </si>
  <si>
    <t>97/3</t>
  </si>
  <si>
    <t>ATG S-27</t>
  </si>
  <si>
    <t>95/47</t>
  </si>
  <si>
    <t>ATG S-18</t>
  </si>
  <si>
    <t>ATG S-17</t>
  </si>
  <si>
    <t>93/11</t>
  </si>
  <si>
    <t>90/41</t>
  </si>
  <si>
    <t>89/33</t>
  </si>
  <si>
    <t>87/7</t>
  </si>
  <si>
    <t>ASO S-28</t>
  </si>
  <si>
    <t>86/11</t>
  </si>
  <si>
    <t>ASO S-23</t>
  </si>
  <si>
    <t>ASO S-22</t>
  </si>
  <si>
    <t>ASO S-18</t>
  </si>
  <si>
    <t>84/25</t>
  </si>
  <si>
    <t>83/29</t>
  </si>
  <si>
    <t>82/33</t>
  </si>
  <si>
    <t>81/3</t>
  </si>
  <si>
    <t>VSD S-42</t>
  </si>
  <si>
    <t>80/3</t>
  </si>
  <si>
    <t>RI:L1=UP LL; R1=UDL</t>
  </si>
  <si>
    <t>VSD S-39</t>
  </si>
  <si>
    <t>VSD S-22</t>
  </si>
  <si>
    <t>78/23</t>
  </si>
  <si>
    <t>76/25</t>
  </si>
  <si>
    <t>IBS S-23</t>
  </si>
  <si>
    <t>75/19</t>
  </si>
  <si>
    <t>KDV DIST</t>
  </si>
  <si>
    <t>73/27</t>
  </si>
  <si>
    <t>KDV S-27</t>
  </si>
  <si>
    <t>72/37</t>
  </si>
  <si>
    <t>KDV S-18</t>
  </si>
  <si>
    <t>KDV S-17</t>
  </si>
  <si>
    <t>71/7</t>
  </si>
  <si>
    <t>69/35</t>
  </si>
  <si>
    <t>Gate-54</t>
  </si>
  <si>
    <t>68/29</t>
  </si>
  <si>
    <t>66/35</t>
  </si>
  <si>
    <t>TLA DIST</t>
  </si>
  <si>
    <t>65/41</t>
  </si>
  <si>
    <t>TLA S-25</t>
  </si>
  <si>
    <t>64/41</t>
  </si>
  <si>
    <t>TLA S-21</t>
  </si>
  <si>
    <t>TLA S-22</t>
  </si>
  <si>
    <t>TLA S-19</t>
  </si>
  <si>
    <t>63/03</t>
  </si>
  <si>
    <t>NE-6212</t>
  </si>
  <si>
    <t>62/29</t>
  </si>
  <si>
    <t>NE-6114</t>
  </si>
  <si>
    <t>NE-6102</t>
  </si>
  <si>
    <t>61/05</t>
  </si>
  <si>
    <t>NE-6008</t>
  </si>
  <si>
    <t>60/15</t>
  </si>
  <si>
    <t>59/39</t>
  </si>
  <si>
    <t>NE-5918</t>
  </si>
  <si>
    <t>59/07</t>
  </si>
  <si>
    <t>NE-5862</t>
  </si>
  <si>
    <t>58/31</t>
  </si>
  <si>
    <t>NE-5816</t>
  </si>
  <si>
    <t>58/07</t>
  </si>
  <si>
    <t>NE-5702</t>
  </si>
  <si>
    <t>57/01</t>
  </si>
  <si>
    <t>NE-5604</t>
  </si>
  <si>
    <t>56/05</t>
  </si>
  <si>
    <t>NE-5510</t>
  </si>
  <si>
    <t>55/27</t>
  </si>
  <si>
    <t>KYN S-78</t>
  </si>
  <si>
    <t>55/03</t>
  </si>
  <si>
    <t>KYN S-71</t>
  </si>
  <si>
    <t>54/1</t>
  </si>
  <si>
    <t>UP NE LINE</t>
  </si>
  <si>
    <t>102/29</t>
  </si>
  <si>
    <t>120/17</t>
  </si>
  <si>
    <t>119/31</t>
  </si>
  <si>
    <t>119/27</t>
  </si>
  <si>
    <t>Due to inadequate can’t on turn out</t>
  </si>
  <si>
    <t>110/31</t>
  </si>
  <si>
    <t>110/3</t>
  </si>
  <si>
    <t>OMB S-6</t>
  </si>
  <si>
    <t>107/23</t>
  </si>
  <si>
    <t>106/21</t>
  </si>
  <si>
    <t>95/33</t>
  </si>
  <si>
    <t>95/27</t>
  </si>
  <si>
    <t>Inadequate cant on turn out curve</t>
  </si>
  <si>
    <t>91/35</t>
  </si>
  <si>
    <t>91/1</t>
  </si>
  <si>
    <t>DIST OF ATG S-16</t>
  </si>
  <si>
    <t>90/7</t>
  </si>
  <si>
    <t>ATG S-16</t>
  </si>
  <si>
    <t>79/23</t>
  </si>
  <si>
    <t>71/23</t>
  </si>
  <si>
    <t>Inadequate can’t on turn out</t>
  </si>
  <si>
    <t>64/23</t>
  </si>
  <si>
    <t>64/11</t>
  </si>
  <si>
    <t>Curve with inadequate can’t due to cross overs</t>
  </si>
  <si>
    <t>63/1</t>
  </si>
  <si>
    <t>62/17</t>
  </si>
  <si>
    <t>54/16</t>
  </si>
  <si>
    <t>54/4</t>
  </si>
  <si>
    <t>Diamond in curve</t>
  </si>
  <si>
    <t>DISTANT OF IBS OMB S-6</t>
  </si>
  <si>
    <t>ASANGAON (ASO)  85.43 KM</t>
  </si>
  <si>
    <t>TITWALA (TLA)  64.05 KM</t>
  </si>
  <si>
    <t>AMBIVLI (ABY) 57.96 KM</t>
  </si>
  <si>
    <t>NE 5918</t>
  </si>
  <si>
    <t>NE 5604</t>
  </si>
  <si>
    <t>KALYAN (KYN) 53.21 KM</t>
  </si>
  <si>
    <t>PNVL S-19</t>
  </si>
  <si>
    <t>PNVL-RH</t>
  </si>
  <si>
    <t>69/20</t>
  </si>
  <si>
    <t>69/44</t>
  </si>
  <si>
    <t>SMNE Dist</t>
  </si>
  <si>
    <t>71/16</t>
  </si>
  <si>
    <t>SMNE S-2</t>
  </si>
  <si>
    <t>SMNE</t>
  </si>
  <si>
    <t>Somatne</t>
  </si>
  <si>
    <t>72/03</t>
  </si>
  <si>
    <t>RI: L1=UDL; L2=PNCS YARD</t>
  </si>
  <si>
    <t>SMNE S-3</t>
  </si>
  <si>
    <t>73/26</t>
  </si>
  <si>
    <t>SMNE S-4</t>
  </si>
  <si>
    <t>73/05</t>
  </si>
  <si>
    <t>Starter (Loop)</t>
  </si>
  <si>
    <t>SMNE S-8</t>
  </si>
  <si>
    <t>74/01</t>
  </si>
  <si>
    <t xml:space="preserve"> </t>
  </si>
  <si>
    <t>Gate-2</t>
  </si>
  <si>
    <t>Gate Distant</t>
  </si>
  <si>
    <t>Gate-5</t>
  </si>
  <si>
    <t>82/10</t>
  </si>
  <si>
    <t>APTA S-2</t>
  </si>
  <si>
    <t>APTA</t>
  </si>
  <si>
    <t>Apta</t>
  </si>
  <si>
    <t>APTA S-3</t>
  </si>
  <si>
    <t>83/13</t>
  </si>
  <si>
    <t>APTA S-4</t>
  </si>
  <si>
    <t>83/03</t>
  </si>
  <si>
    <t>APTA S-5</t>
  </si>
  <si>
    <t>APTA S-8</t>
  </si>
  <si>
    <t>83/42</t>
  </si>
  <si>
    <t>Jite Dist</t>
  </si>
  <si>
    <t>91/01</t>
  </si>
  <si>
    <t>JITE S-2</t>
  </si>
  <si>
    <t>JITE</t>
  </si>
  <si>
    <t>Jite</t>
  </si>
  <si>
    <t>92/01</t>
  </si>
  <si>
    <t>JITE S-3</t>
  </si>
  <si>
    <t>93/10</t>
  </si>
  <si>
    <t>JITE S-4</t>
  </si>
  <si>
    <t>93/02</t>
  </si>
  <si>
    <t>JITE S-8</t>
  </si>
  <si>
    <t>93/26</t>
  </si>
  <si>
    <t>96/09</t>
  </si>
  <si>
    <t>Gate-13</t>
  </si>
  <si>
    <t>98/01</t>
  </si>
  <si>
    <t>100/08</t>
  </si>
  <si>
    <t>PEN S-2</t>
  </si>
  <si>
    <t>PEN</t>
  </si>
  <si>
    <t>Pen</t>
  </si>
  <si>
    <t>102/04</t>
  </si>
  <si>
    <t>RI: L1=PF-1; R1=PF-2; R2=PF-3; R3=GL1,2</t>
  </si>
  <si>
    <t>Book shows one left and three right arms on top of vertical stem</t>
  </si>
  <si>
    <t>PEN S-4</t>
  </si>
  <si>
    <t>104/01</t>
  </si>
  <si>
    <t>PEN S-5</t>
  </si>
  <si>
    <t>103/08</t>
  </si>
  <si>
    <t>PEN S-6</t>
  </si>
  <si>
    <t>103/09</t>
  </si>
  <si>
    <t>RI: L1=ROHA</t>
  </si>
  <si>
    <t>PEN S-7</t>
  </si>
  <si>
    <t>103/10</t>
  </si>
  <si>
    <t>PEN S-8</t>
  </si>
  <si>
    <t>103/11</t>
  </si>
  <si>
    <t>PEN S-9</t>
  </si>
  <si>
    <t>103/12</t>
  </si>
  <si>
    <t>PEN S-11</t>
  </si>
  <si>
    <t>104/03</t>
  </si>
  <si>
    <t>107/01</t>
  </si>
  <si>
    <t>108/01</t>
  </si>
  <si>
    <t>110/01</t>
  </si>
  <si>
    <t>111/2</t>
  </si>
  <si>
    <t>115/05</t>
  </si>
  <si>
    <t>KASU S-2</t>
  </si>
  <si>
    <t>KASU</t>
  </si>
  <si>
    <t>Kasu</t>
  </si>
  <si>
    <t>116/09</t>
  </si>
  <si>
    <t>KASU S-3</t>
  </si>
  <si>
    <t>117/06</t>
  </si>
  <si>
    <t>KASU S-4</t>
  </si>
  <si>
    <t>117/07</t>
  </si>
  <si>
    <t>KASU S-5</t>
  </si>
  <si>
    <t>117/08</t>
  </si>
  <si>
    <t>KASU S-8</t>
  </si>
  <si>
    <t>118/01</t>
  </si>
  <si>
    <t>Gate-35</t>
  </si>
  <si>
    <t>118/8</t>
  </si>
  <si>
    <t>128/2</t>
  </si>
  <si>
    <t>NGTN S-2</t>
  </si>
  <si>
    <t>NGTN</t>
  </si>
  <si>
    <t>Nagothane</t>
  </si>
  <si>
    <t>129/3</t>
  </si>
  <si>
    <t>RI: L1=UDL; L2=GL-1; L3=GL-2; R1=PF-1</t>
  </si>
  <si>
    <t>NGTN S-3</t>
  </si>
  <si>
    <t>130/9</t>
  </si>
  <si>
    <t>NGTN S-4</t>
  </si>
  <si>
    <t>NGTN S-5</t>
  </si>
  <si>
    <t>NGTN S-7</t>
  </si>
  <si>
    <t>NGTN S-8</t>
  </si>
  <si>
    <t>131/2</t>
  </si>
  <si>
    <t>136/12</t>
  </si>
  <si>
    <t>137/26</t>
  </si>
  <si>
    <t>140/5</t>
  </si>
  <si>
    <t>141/5</t>
  </si>
  <si>
    <t>ROHA S-2</t>
  </si>
  <si>
    <t>ROHA</t>
  </si>
  <si>
    <t>Roha</t>
  </si>
  <si>
    <t>142/5</t>
  </si>
  <si>
    <t>RI: L1=GL-2,3,4; R1=PF-1/GL-1</t>
  </si>
  <si>
    <t>ROHA S-25</t>
  </si>
  <si>
    <t>RH-PNVL</t>
  </si>
  <si>
    <t>ROHA S-26</t>
  </si>
  <si>
    <t>ROHA S-27</t>
  </si>
  <si>
    <t>ROHA S-28</t>
  </si>
  <si>
    <t>GL-3 STR</t>
  </si>
  <si>
    <t>ROHA S-29</t>
  </si>
  <si>
    <t>GL-4 STR</t>
  </si>
  <si>
    <t>ROHA S-24</t>
  </si>
  <si>
    <t>142/35</t>
  </si>
  <si>
    <t>141/52</t>
  </si>
  <si>
    <t>139/3</t>
  </si>
  <si>
    <t>138/3</t>
  </si>
  <si>
    <t>135/47</t>
  </si>
  <si>
    <t>S-2 REP</t>
  </si>
  <si>
    <t>134/23</t>
  </si>
  <si>
    <t>Gate-46</t>
  </si>
  <si>
    <t>134/13</t>
  </si>
  <si>
    <t>132/43</t>
  </si>
  <si>
    <t>NGTN S-32</t>
  </si>
  <si>
    <t>131/23</t>
  </si>
  <si>
    <t>RI: L1=PF-1; R1=UDL; R2=YARD</t>
  </si>
  <si>
    <t>NGTN S-25</t>
  </si>
  <si>
    <t>NGTN S-26</t>
  </si>
  <si>
    <t>130/14</t>
  </si>
  <si>
    <t>NGTN S-24</t>
  </si>
  <si>
    <t>129/13</t>
  </si>
  <si>
    <t>120/23</t>
  </si>
  <si>
    <t>119/11</t>
  </si>
  <si>
    <t>KASU S-24</t>
  </si>
  <si>
    <t>118/07</t>
  </si>
  <si>
    <t>KASU S-19</t>
  </si>
  <si>
    <t>117/00</t>
  </si>
  <si>
    <t>KASU S-21</t>
  </si>
  <si>
    <t>117/05</t>
  </si>
  <si>
    <t>KASU S-18</t>
  </si>
  <si>
    <t>116/23</t>
  </si>
  <si>
    <t>112/25</t>
  </si>
  <si>
    <t>111/25</t>
  </si>
  <si>
    <t>109/21</t>
  </si>
  <si>
    <t>108/19</t>
  </si>
  <si>
    <t>PEN S-45</t>
  </si>
  <si>
    <t>104/17</t>
  </si>
  <si>
    <t>RI: L1=PF-2; L2=PF-3</t>
  </si>
  <si>
    <t>PEN S-35</t>
  </si>
  <si>
    <t>103/6</t>
  </si>
  <si>
    <t>PEN S-36</t>
  </si>
  <si>
    <t>PEN S-37</t>
  </si>
  <si>
    <t>103/4</t>
  </si>
  <si>
    <t>PEN S-38</t>
  </si>
  <si>
    <t>103/5</t>
  </si>
  <si>
    <t>PEN S-39</t>
  </si>
  <si>
    <t>PEN S-34</t>
  </si>
  <si>
    <t>102/25</t>
  </si>
  <si>
    <t>99/15</t>
  </si>
  <si>
    <t>98/17</t>
  </si>
  <si>
    <t>94/37</t>
  </si>
  <si>
    <t>JITE S-24</t>
  </si>
  <si>
    <t>93/29</t>
  </si>
  <si>
    <t>JITE S-19</t>
  </si>
  <si>
    <t>92/37</t>
  </si>
  <si>
    <t>JITE S-21</t>
  </si>
  <si>
    <t>92/35</t>
  </si>
  <si>
    <t>JITE S-18</t>
  </si>
  <si>
    <t>92/7</t>
  </si>
  <si>
    <t>84/67</t>
  </si>
  <si>
    <t>APTA S-24</t>
  </si>
  <si>
    <t>83/49</t>
  </si>
  <si>
    <t>APTA S-19</t>
  </si>
  <si>
    <t>APTA S-21</t>
  </si>
  <si>
    <t>APTA S-18</t>
  </si>
  <si>
    <t>82/11</t>
  </si>
  <si>
    <t>76/19</t>
  </si>
  <si>
    <t>Gate-4 REP</t>
  </si>
  <si>
    <t>76/29</t>
  </si>
  <si>
    <t>SMNE S-39</t>
  </si>
  <si>
    <t>74/1</t>
  </si>
  <si>
    <t>RI: L1=UP LL; R1=UDL</t>
  </si>
  <si>
    <t>SMNE S-32</t>
  </si>
  <si>
    <t>72/35</t>
  </si>
  <si>
    <t>SMNE S-33</t>
  </si>
  <si>
    <t>73/07</t>
  </si>
  <si>
    <t>SMNE S-34</t>
  </si>
  <si>
    <t>73/09</t>
  </si>
  <si>
    <t>SMNE S-35</t>
  </si>
  <si>
    <t>SMNE S-31</t>
  </si>
  <si>
    <t>72/19</t>
  </si>
  <si>
    <t>71/17</t>
  </si>
  <si>
    <t>70/15</t>
  </si>
  <si>
    <t>PNVL S-39</t>
  </si>
  <si>
    <t>69/25</t>
  </si>
  <si>
    <t>RI: L1=S-34</t>
  </si>
  <si>
    <t>PNVL S-34</t>
  </si>
  <si>
    <t>68/47</t>
  </si>
  <si>
    <t>Inner Home</t>
  </si>
  <si>
    <t>RI: L1=UP ML; L2=PF-5; R1=PF-7</t>
  </si>
  <si>
    <t>PNVL S-30</t>
  </si>
  <si>
    <t>RI: L1=UDL; R1=PF-7</t>
  </si>
  <si>
    <t>KJT S-16</t>
  </si>
  <si>
    <t>KJT-LNL</t>
  </si>
  <si>
    <t>RI: L1=RD-3; L2=RD-2; R1=RD-1; R2=S-39; R3=S-28</t>
  </si>
  <si>
    <t>Book shows two left and three right arms on top of vertical stem</t>
  </si>
  <si>
    <t>KJT S-21</t>
  </si>
  <si>
    <t>KJT S-22</t>
  </si>
  <si>
    <t>RI: L1=RD-4,5,6; L2=S-28</t>
  </si>
  <si>
    <t>KJT S-38</t>
  </si>
  <si>
    <t>100/32</t>
  </si>
  <si>
    <t>RI: R1=S-62; R2=S-63; R3=S-64</t>
  </si>
  <si>
    <t>KJT S-28</t>
  </si>
  <si>
    <t>100/03</t>
  </si>
  <si>
    <t>RI: L1=S-39; L2=S-38; R1=RD-4,5,6; R2=S-55</t>
  </si>
  <si>
    <t>KJT S-42</t>
  </si>
  <si>
    <t>101/303</t>
  </si>
  <si>
    <t>RI: L1=S-62; L2=S-61; R1=S-64</t>
  </si>
  <si>
    <t>KJT S-61</t>
  </si>
  <si>
    <t>101/154</t>
  </si>
  <si>
    <t>PDI S-1</t>
  </si>
  <si>
    <t>PDI</t>
  </si>
  <si>
    <t>Palasdhari</t>
  </si>
  <si>
    <t>102/10</t>
  </si>
  <si>
    <t>PDI S-11</t>
  </si>
  <si>
    <t>102/34</t>
  </si>
  <si>
    <t>RI: R1=DN MID LINE</t>
  </si>
  <si>
    <t>PDI S-14</t>
  </si>
  <si>
    <t>102/48</t>
  </si>
  <si>
    <t>JBC Distant</t>
  </si>
  <si>
    <t>JBC</t>
  </si>
  <si>
    <t>Jambrung Cabin</t>
  </si>
  <si>
    <t>108/04</t>
  </si>
  <si>
    <t>JBC S-1</t>
  </si>
  <si>
    <t>109/128</t>
  </si>
  <si>
    <t>TKW Distant</t>
  </si>
  <si>
    <t>TKW</t>
  </si>
  <si>
    <t>Thakurwadi</t>
  </si>
  <si>
    <t>111/114</t>
  </si>
  <si>
    <t>TKW S-1</t>
  </si>
  <si>
    <t>112/112</t>
  </si>
  <si>
    <t>TKW S-4</t>
  </si>
  <si>
    <t>112/144</t>
  </si>
  <si>
    <t>MHLC Distant</t>
  </si>
  <si>
    <t>MHLC</t>
  </si>
  <si>
    <t>Monkey Hill</t>
  </si>
  <si>
    <t>117/124</t>
  </si>
  <si>
    <t>MHLC S-1</t>
  </si>
  <si>
    <t>118/112</t>
  </si>
  <si>
    <t>MHLC S-3</t>
  </si>
  <si>
    <t>118/150</t>
  </si>
  <si>
    <t>KAD Distant</t>
  </si>
  <si>
    <t>KAD</t>
  </si>
  <si>
    <t>Khandala</t>
  </si>
  <si>
    <t>CH-40</t>
  </si>
  <si>
    <t>KAD S-1 REP</t>
  </si>
  <si>
    <t>CH-66</t>
  </si>
  <si>
    <t>KAD S-1</t>
  </si>
  <si>
    <t>123/120</t>
  </si>
  <si>
    <t>KAD S-4</t>
  </si>
  <si>
    <t>124/124</t>
  </si>
  <si>
    <t>LNL Distant</t>
  </si>
  <si>
    <t>LNL</t>
  </si>
  <si>
    <t>Lonavala</t>
  </si>
  <si>
    <t>125/130</t>
  </si>
  <si>
    <t>LNL S-1</t>
  </si>
  <si>
    <t>126/130</t>
  </si>
  <si>
    <t>LNL S-3</t>
  </si>
  <si>
    <t>127/102</t>
  </si>
  <si>
    <t>RI: L1=PF-1; R1=PF-2; R2=PF-3; R3=PF-4</t>
  </si>
  <si>
    <t>LNL S-6 REP</t>
  </si>
  <si>
    <t>ON PF MID</t>
  </si>
  <si>
    <t>LNL S-6</t>
  </si>
  <si>
    <t>ON PF-1</t>
  </si>
  <si>
    <t>LNL S-8</t>
  </si>
  <si>
    <t>RI: L1=BVT YD</t>
  </si>
  <si>
    <t>98/12</t>
  </si>
  <si>
    <t>102/20</t>
  </si>
  <si>
    <t>Semi ghat section &amp; T/out on 2.0 degree curve</t>
  </si>
  <si>
    <t>KARJAT (KJT) 99.70 KM</t>
  </si>
  <si>
    <t>PALSADHARI (PDI) 102KM</t>
  </si>
  <si>
    <t>JAMBRUNG CABIN (JBC) 109KM</t>
  </si>
  <si>
    <t>TKW DN DIST</t>
  </si>
  <si>
    <t>THAKURWADI (TKW) 112KM</t>
  </si>
  <si>
    <t>MONKEY HILL (MHLC) 118 KM</t>
  </si>
  <si>
    <t>KHANDALA (KAD) 124 KM</t>
  </si>
  <si>
    <t>LONAVALA (LNL) 128KM</t>
  </si>
  <si>
    <t>KJT S-39</t>
  </si>
  <si>
    <t>RI: L1=S-61; R1=S-63; R2=S-64</t>
  </si>
  <si>
    <t>KJT S-62</t>
  </si>
  <si>
    <t>PDI S-2</t>
  </si>
  <si>
    <t>PDI S-12</t>
  </si>
  <si>
    <t>PDI S-15</t>
  </si>
  <si>
    <t>TKW S-2</t>
  </si>
  <si>
    <t>RI: L1=DN MN LINE</t>
  </si>
  <si>
    <t>TKW S-5</t>
  </si>
  <si>
    <t>MHLC S-2</t>
  </si>
  <si>
    <t>MHLC S-4</t>
  </si>
  <si>
    <t>KAD S-2</t>
  </si>
  <si>
    <t>KAD S-3</t>
  </si>
  <si>
    <t>LNL S-2</t>
  </si>
  <si>
    <t>LNL S-4</t>
  </si>
  <si>
    <t>RI: L1=UDGL; L2=PF-1; R1=PF-3; R2=PF-4</t>
  </si>
  <si>
    <t>KJT-LNL MID</t>
  </si>
  <si>
    <t>DN MID</t>
  </si>
  <si>
    <t>112/133 ES</t>
  </si>
  <si>
    <t>112/137 ES</t>
  </si>
  <si>
    <t>Diversion from catch siding ML on T/out side</t>
  </si>
  <si>
    <t>118/110 ES</t>
  </si>
  <si>
    <t>118/112 ES</t>
  </si>
  <si>
    <t>Due to contra flexure T/out with inadequate cant</t>
  </si>
  <si>
    <t>MHC S-4</t>
  </si>
  <si>
    <t>123/128</t>
  </si>
  <si>
    <t>Diversion from catch siding ML on T/Out side</t>
  </si>
  <si>
    <t>127/117</t>
  </si>
  <si>
    <t>127/119</t>
  </si>
  <si>
    <t>Inadequate cant on curve due to T/Out</t>
  </si>
  <si>
    <t>LNL S-65</t>
  </si>
  <si>
    <t>LNL-KJT</t>
  </si>
  <si>
    <t>RI: L1=UP ML</t>
  </si>
  <si>
    <t>LNL S-66</t>
  </si>
  <si>
    <t>LINE NO 18 STR</t>
  </si>
  <si>
    <t>LNL S-64</t>
  </si>
  <si>
    <t>LNL S-63</t>
  </si>
  <si>
    <t>RI: R1=MID LINE</t>
  </si>
  <si>
    <t>LNL S-70</t>
  </si>
  <si>
    <t>LNL S-69</t>
  </si>
  <si>
    <t>OLD YD L-1 STR</t>
  </si>
  <si>
    <t>LNL S-68</t>
  </si>
  <si>
    <t>OLD YD L-2 STR</t>
  </si>
  <si>
    <t>LNL S-62</t>
  </si>
  <si>
    <t xml:space="preserve">LNL </t>
  </si>
  <si>
    <t>Gate-30</t>
  </si>
  <si>
    <t>KAD S-15</t>
  </si>
  <si>
    <t>KAD S-12</t>
  </si>
  <si>
    <t>KAD S-9</t>
  </si>
  <si>
    <t>MHLC S-9</t>
  </si>
  <si>
    <t>MHLC S-7</t>
  </si>
  <si>
    <t>TKW S-6</t>
  </si>
  <si>
    <t>TKW S-3</t>
  </si>
  <si>
    <t>PDI Distant</t>
  </si>
  <si>
    <t>PDI S-18</t>
  </si>
  <si>
    <t xml:space="preserve">PDI </t>
  </si>
  <si>
    <t>PDI S-7</t>
  </si>
  <si>
    <t>KJT S-73</t>
  </si>
  <si>
    <t xml:space="preserve">KJT </t>
  </si>
  <si>
    <t>RI: L1=S-81; L2=RD-6; L3=S-82</t>
  </si>
  <si>
    <t>KJT S-87</t>
  </si>
  <si>
    <t>RI: L1=S-105</t>
  </si>
  <si>
    <t>LNL-KJT MID</t>
  </si>
  <si>
    <t>UP MID</t>
  </si>
  <si>
    <t>127/219 ES</t>
  </si>
  <si>
    <t>127/217</t>
  </si>
  <si>
    <t>Inadequate cant on curve due to T/out</t>
  </si>
  <si>
    <t>123/228</t>
  </si>
  <si>
    <t>123/220</t>
  </si>
  <si>
    <t>Catch siding on contra flexure T/out taking off from inside of Transition of 5° curve</t>
  </si>
  <si>
    <t>118/212</t>
  </si>
  <si>
    <t>118/210</t>
  </si>
  <si>
    <t>Catch Siding on Straight &amp; on M/L negotiate the T/O Curve</t>
  </si>
  <si>
    <t>112/237</t>
  </si>
  <si>
    <t>112/233</t>
  </si>
  <si>
    <t>LNL S-61</t>
  </si>
  <si>
    <t>127/305</t>
  </si>
  <si>
    <t>126/309</t>
  </si>
  <si>
    <t>125/215</t>
  </si>
  <si>
    <t>KAD S-11</t>
  </si>
  <si>
    <t>KAD S-8</t>
  </si>
  <si>
    <t>123/325</t>
  </si>
  <si>
    <t>119/343</t>
  </si>
  <si>
    <t>MHLC S-10</t>
  </si>
  <si>
    <t>118/43A</t>
  </si>
  <si>
    <t>MHLC S-8</t>
  </si>
  <si>
    <t>118/369</t>
  </si>
  <si>
    <t>NNCN Distant</t>
  </si>
  <si>
    <t>NNCN</t>
  </si>
  <si>
    <t>Nagnath Cabin</t>
  </si>
  <si>
    <t>114/343</t>
  </si>
  <si>
    <t>NNCN S-1</t>
  </si>
  <si>
    <t>114/301</t>
  </si>
  <si>
    <t>104/319</t>
  </si>
  <si>
    <t>PDI S-17</t>
  </si>
  <si>
    <t>103/313</t>
  </si>
  <si>
    <t>PDI S-6</t>
  </si>
  <si>
    <t>KJT S-72</t>
  </si>
  <si>
    <t>RI: L1=S-82; L2=RD-6; R1=S-87</t>
  </si>
  <si>
    <t>KJT S-81</t>
  </si>
  <si>
    <t>RI: L1=RD-4; L2=RD-5</t>
  </si>
  <si>
    <t>Book shows two left arm on top of vertical stem</t>
  </si>
  <si>
    <t>127/321 ES</t>
  </si>
  <si>
    <t>127/317 ES</t>
  </si>
  <si>
    <t>M/L negotiate 1–12 T/out with Inadequate cant.</t>
  </si>
  <si>
    <t>122/333</t>
  </si>
  <si>
    <t>122/330</t>
  </si>
  <si>
    <t>Catch siding on contra flexure turnout taking off from inside of Transition of 5° curve on point No. 104</t>
  </si>
  <si>
    <t>SSD</t>
  </si>
  <si>
    <t>118/317</t>
  </si>
  <si>
    <t>119/324 NL</t>
  </si>
  <si>
    <t>Catch siding on straight &amp; M/L on transition of 4° curve</t>
  </si>
  <si>
    <t>113/324</t>
  </si>
  <si>
    <t>113/322</t>
  </si>
  <si>
    <t>Catch siding on straight &amp; M/L negotiate T/O Curve</t>
  </si>
  <si>
    <t>PDI DISTANT</t>
  </si>
  <si>
    <t>102/20 ES</t>
  </si>
  <si>
    <t>98/12 ES</t>
  </si>
  <si>
    <t>Inadequate cant on contra flexure T/out on 2.3° curve</t>
  </si>
  <si>
    <t>VVH S-11</t>
  </si>
  <si>
    <t>Vidyavihar</t>
  </si>
  <si>
    <t>CLA-KYN</t>
  </si>
  <si>
    <t>5TH LINE</t>
  </si>
  <si>
    <t>17/09 YD</t>
  </si>
  <si>
    <t>Semi Automatic</t>
  </si>
  <si>
    <t>VVH S-107</t>
  </si>
  <si>
    <t>LTT PF-1 STR</t>
  </si>
  <si>
    <t>VVH S-108</t>
  </si>
  <si>
    <t>LTT PF-2 STR</t>
  </si>
  <si>
    <t>VVH S-109</t>
  </si>
  <si>
    <t>LTT PF-3 STR</t>
  </si>
  <si>
    <t>RI: R1=S-22</t>
  </si>
  <si>
    <t>VVH S-111</t>
  </si>
  <si>
    <t>LTT PF-4 STR</t>
  </si>
  <si>
    <t>VVH S-112</t>
  </si>
  <si>
    <t>LTT PF-5 STR</t>
  </si>
  <si>
    <t>VVH S-113</t>
  </si>
  <si>
    <t>LTT PF-6 STR</t>
  </si>
  <si>
    <t>VVH S-114</t>
  </si>
  <si>
    <t>LTT PF-7 STR</t>
  </si>
  <si>
    <t>VVH S-21</t>
  </si>
  <si>
    <t>DN LTT EXIT</t>
  </si>
  <si>
    <t>RI: L1=DN TH S-31</t>
  </si>
  <si>
    <t>VVH S-22</t>
  </si>
  <si>
    <t>UP LTT EXIT</t>
  </si>
  <si>
    <t>VVH S-31</t>
  </si>
  <si>
    <t>18/602</t>
  </si>
  <si>
    <t>RI: L1=DN TH S-37</t>
  </si>
  <si>
    <t>VVH S-45</t>
  </si>
  <si>
    <t>18/515</t>
  </si>
  <si>
    <t>RI: R1= GC UDL</t>
  </si>
  <si>
    <t>VVH S-59</t>
  </si>
  <si>
    <t>19/512</t>
  </si>
  <si>
    <t>VVH S-61</t>
  </si>
  <si>
    <t>DN LOOP STR</t>
  </si>
  <si>
    <t>ME 2005</t>
  </si>
  <si>
    <t>20/505A</t>
  </si>
  <si>
    <t>ME 2101</t>
  </si>
  <si>
    <t>21/504</t>
  </si>
  <si>
    <t>ME 2113</t>
  </si>
  <si>
    <t>21/532</t>
  </si>
  <si>
    <t>ME 2207</t>
  </si>
  <si>
    <t>22/516</t>
  </si>
  <si>
    <t>ME 2301</t>
  </si>
  <si>
    <t>22/542</t>
  </si>
  <si>
    <t>VK S-9</t>
  </si>
  <si>
    <t>23/522</t>
  </si>
  <si>
    <t>ME 2407</t>
  </si>
  <si>
    <t>24/516</t>
  </si>
  <si>
    <t>ME 2501</t>
  </si>
  <si>
    <t>25/504</t>
  </si>
  <si>
    <t>BND S-7</t>
  </si>
  <si>
    <t>25/532</t>
  </si>
  <si>
    <t>RI: R1=BND UDL</t>
  </si>
  <si>
    <t>BND S-18</t>
  </si>
  <si>
    <t>26/516</t>
  </si>
  <si>
    <t>BND S-19</t>
  </si>
  <si>
    <t>ME 2707</t>
  </si>
  <si>
    <t>27/504</t>
  </si>
  <si>
    <t>NHR S-1</t>
  </si>
  <si>
    <t>NHR</t>
  </si>
  <si>
    <t>Nahur</t>
  </si>
  <si>
    <t>27/514</t>
  </si>
  <si>
    <t>RI: R1=NGSM YD</t>
  </si>
  <si>
    <t>ME 2813</t>
  </si>
  <si>
    <t>28/511</t>
  </si>
  <si>
    <t>MLND S-2</t>
  </si>
  <si>
    <t>From NGSM YD</t>
  </si>
  <si>
    <t>RI: L1=DN TH</t>
  </si>
  <si>
    <t>MLND S-1</t>
  </si>
  <si>
    <t>29/508A</t>
  </si>
  <si>
    <t>ME 3003</t>
  </si>
  <si>
    <t>30/502</t>
  </si>
  <si>
    <t>ME 3013</t>
  </si>
  <si>
    <t>30/512</t>
  </si>
  <si>
    <t>ME 3105</t>
  </si>
  <si>
    <t>31/504</t>
  </si>
  <si>
    <t>TNA S-5</t>
  </si>
  <si>
    <t>31/513</t>
  </si>
  <si>
    <t>RI: R1=PF-8; R2=TR HBS-47;</t>
  </si>
  <si>
    <t>TNA S-47</t>
  </si>
  <si>
    <t>FOR TR/HB 32/15</t>
  </si>
  <si>
    <t>RI: R1=PF-10</t>
  </si>
  <si>
    <t>TNA S-64</t>
  </si>
  <si>
    <t>TNA PF-7 STR</t>
  </si>
  <si>
    <t>TNA S-63</t>
  </si>
  <si>
    <t>TNA PF-8 STR</t>
  </si>
  <si>
    <t>TNA S-74</t>
  </si>
  <si>
    <t>33/532</t>
  </si>
  <si>
    <t>ME 3401</t>
  </si>
  <si>
    <t>34/508</t>
  </si>
  <si>
    <t>PSK S-1</t>
  </si>
  <si>
    <t>Parsik Tunnel</t>
  </si>
  <si>
    <t>34/524</t>
  </si>
  <si>
    <t>ME 3501</t>
  </si>
  <si>
    <t>34/546</t>
  </si>
  <si>
    <t>PSK S-11</t>
  </si>
  <si>
    <t>35/510</t>
  </si>
  <si>
    <t>ME 3511</t>
  </si>
  <si>
    <t>35/532</t>
  </si>
  <si>
    <t>ME 3605</t>
  </si>
  <si>
    <t>36/512</t>
  </si>
  <si>
    <t>ME 3701</t>
  </si>
  <si>
    <t>37/502</t>
  </si>
  <si>
    <t>ME 3707</t>
  </si>
  <si>
    <t>38/506</t>
  </si>
  <si>
    <t>ME 4019</t>
  </si>
  <si>
    <t>40/536</t>
  </si>
  <si>
    <t>DW S-4</t>
  </si>
  <si>
    <t>41/514</t>
  </si>
  <si>
    <t>RI: L1=UP TH; R1=DW S-9</t>
  </si>
  <si>
    <t>DW S-9</t>
  </si>
  <si>
    <t>42/506</t>
  </si>
  <si>
    <t>RI: L1=PF-6; R1=GL-1; R2=GL-2</t>
  </si>
  <si>
    <t>DW S-8</t>
  </si>
  <si>
    <t>42/502</t>
  </si>
  <si>
    <t>DW S-18</t>
  </si>
  <si>
    <t>42/534</t>
  </si>
  <si>
    <t>DCC S-8</t>
  </si>
  <si>
    <t>Dantivali Cabin</t>
  </si>
  <si>
    <t>43/524</t>
  </si>
  <si>
    <t>RI: R1=DCC LOOP; R2=DCC M/L;</t>
  </si>
  <si>
    <t>ME 4403</t>
  </si>
  <si>
    <t>44/506</t>
  </si>
  <si>
    <t>DCC S-32</t>
  </si>
  <si>
    <t>45/504</t>
  </si>
  <si>
    <t>ME 4515</t>
  </si>
  <si>
    <t>45/540</t>
  </si>
  <si>
    <t>DI S-13</t>
  </si>
  <si>
    <t>46/518</t>
  </si>
  <si>
    <t>DI S-26</t>
  </si>
  <si>
    <t>47/516</t>
  </si>
  <si>
    <t xml:space="preserve">RI: L1=DN TH; </t>
  </si>
  <si>
    <t>ME 4809</t>
  </si>
  <si>
    <t>48/653</t>
  </si>
  <si>
    <t>ME 4903</t>
  </si>
  <si>
    <t>49/512</t>
  </si>
  <si>
    <t>ME 4913</t>
  </si>
  <si>
    <t>49/522</t>
  </si>
  <si>
    <t>ME 5007</t>
  </si>
  <si>
    <t>50/508</t>
  </si>
  <si>
    <t>KYN S-4</t>
  </si>
  <si>
    <t>51/505</t>
  </si>
  <si>
    <t>RI: R1=KYN YD</t>
  </si>
  <si>
    <t>KYN S-9</t>
  </si>
  <si>
    <t>51/544</t>
  </si>
  <si>
    <t>RI: L1=DN TH; R2=DN LL; R3=S-28</t>
  </si>
  <si>
    <t>KYN S-25</t>
  </si>
  <si>
    <t>52/433</t>
  </si>
  <si>
    <t>RI: L1=PF-7;</t>
  </si>
  <si>
    <t>47/10</t>
  </si>
  <si>
    <t>48/15</t>
  </si>
  <si>
    <t>ME-4809</t>
  </si>
  <si>
    <t>LTT</t>
  </si>
  <si>
    <t>KYN-CLA</t>
  </si>
  <si>
    <t>6TH LINE</t>
  </si>
  <si>
    <t>KYN PF-7 STR</t>
  </si>
  <si>
    <t>RI: R1=UP TH S-19</t>
  </si>
  <si>
    <t>KYN- S-41</t>
  </si>
  <si>
    <t>KYN PF-6 STR</t>
  </si>
  <si>
    <t>RI: L1=6TH LINE S-21; R1=UP TH S-19</t>
  </si>
  <si>
    <t>52/641</t>
  </si>
  <si>
    <t>RI: R1=UP TH; R2=UP LL</t>
  </si>
  <si>
    <t>ME 5104</t>
  </si>
  <si>
    <t>51/613</t>
  </si>
  <si>
    <t>ME 5004</t>
  </si>
  <si>
    <t>50/617</t>
  </si>
  <si>
    <t>ME 4908</t>
  </si>
  <si>
    <t>49/635</t>
  </si>
  <si>
    <t>ME 4812</t>
  </si>
  <si>
    <t>48/627</t>
  </si>
  <si>
    <t>DI S-31</t>
  </si>
  <si>
    <t>47/631</t>
  </si>
  <si>
    <t>DI S-18</t>
  </si>
  <si>
    <t>46/647</t>
  </si>
  <si>
    <t>RI: L1=TO BSR S-7</t>
  </si>
  <si>
    <t>ME 4602</t>
  </si>
  <si>
    <t>46/605</t>
  </si>
  <si>
    <t>DCC S-39</t>
  </si>
  <si>
    <t>Dativali Cabin</t>
  </si>
  <si>
    <t>45/627</t>
  </si>
  <si>
    <t>RI: L1=DCC LOOP; L2=DCC M/L</t>
  </si>
  <si>
    <t>DCC S-31</t>
  </si>
  <si>
    <t>45/6A</t>
  </si>
  <si>
    <t>DCC S-16</t>
  </si>
  <si>
    <t>44/21</t>
  </si>
  <si>
    <t>DCC S-22</t>
  </si>
  <si>
    <t>DCC LOOP STR</t>
  </si>
  <si>
    <t>ME 4310</t>
  </si>
  <si>
    <t>43/635</t>
  </si>
  <si>
    <t>DW S-68</t>
  </si>
  <si>
    <t>43/613</t>
  </si>
  <si>
    <t>RI: L1=PF-6; L2=PF-8</t>
  </si>
  <si>
    <t>DW S-55</t>
  </si>
  <si>
    <t>RI: R1=UP LL S-45</t>
  </si>
  <si>
    <t>DW S-50</t>
  </si>
  <si>
    <t>41/627A</t>
  </si>
  <si>
    <t>RI: R1=UP TH DW S-46</t>
  </si>
  <si>
    <t>DW S-47</t>
  </si>
  <si>
    <t>41/615</t>
  </si>
  <si>
    <t>ME 4102</t>
  </si>
  <si>
    <t>41/601</t>
  </si>
  <si>
    <t>ME 3808</t>
  </si>
  <si>
    <t>38/617</t>
  </si>
  <si>
    <t>ME 3702</t>
  </si>
  <si>
    <t>37/605</t>
  </si>
  <si>
    <t>ME 3604</t>
  </si>
  <si>
    <t>36/611</t>
  </si>
  <si>
    <t>PSK S-15</t>
  </si>
  <si>
    <t>Parshik</t>
  </si>
  <si>
    <t>35/633</t>
  </si>
  <si>
    <t>RI: L1=TR HB PSK S-37</t>
  </si>
  <si>
    <t>ME 3508</t>
  </si>
  <si>
    <t>35/615</t>
  </si>
  <si>
    <t>PSK S-9</t>
  </si>
  <si>
    <t>35/601</t>
  </si>
  <si>
    <t>PSK S-2</t>
  </si>
  <si>
    <t>34/530</t>
  </si>
  <si>
    <t>ME 3404</t>
  </si>
  <si>
    <t>34/617</t>
  </si>
  <si>
    <t>TNA S-87</t>
  </si>
  <si>
    <t>33/601</t>
  </si>
  <si>
    <t>TNA S-83</t>
  </si>
  <si>
    <t>33/641A</t>
  </si>
  <si>
    <t>TNA S-70</t>
  </si>
  <si>
    <t>33/607</t>
  </si>
  <si>
    <t>TNA S-27</t>
  </si>
  <si>
    <t>RI: R1=UP TH TNA S-11</t>
  </si>
  <si>
    <t>ME 3114</t>
  </si>
  <si>
    <t>31/615</t>
  </si>
  <si>
    <t>ME 3102</t>
  </si>
  <si>
    <t>31/603</t>
  </si>
  <si>
    <t>ME 3010</t>
  </si>
  <si>
    <t>30/609A</t>
  </si>
  <si>
    <t>MLND S-9</t>
  </si>
  <si>
    <t>29/615</t>
  </si>
  <si>
    <t>RI: L1=NGSM YD</t>
  </si>
  <si>
    <t>MLND S-31</t>
  </si>
  <si>
    <t>In NGSM YD</t>
  </si>
  <si>
    <t>RI: L1=RD-3 TO 5</t>
  </si>
  <si>
    <t>ME 2904</t>
  </si>
  <si>
    <t>29/604</t>
  </si>
  <si>
    <t>NHR S-15</t>
  </si>
  <si>
    <t>28/608A</t>
  </si>
  <si>
    <t>BND S-29</t>
  </si>
  <si>
    <t>27/613</t>
  </si>
  <si>
    <t>BND S-25</t>
  </si>
  <si>
    <t>27/605</t>
  </si>
  <si>
    <t>BND S-11</t>
  </si>
  <si>
    <t>BND S-12</t>
  </si>
  <si>
    <t>26/604A</t>
  </si>
  <si>
    <t>BND S-9</t>
  </si>
  <si>
    <t>25/637</t>
  </si>
  <si>
    <t>RI: L1=BND DEPOT</t>
  </si>
  <si>
    <t>ME 2506</t>
  </si>
  <si>
    <t>25/615</t>
  </si>
  <si>
    <t>ME 2412</t>
  </si>
  <si>
    <t>24/629</t>
  </si>
  <si>
    <t>VK S-28</t>
  </si>
  <si>
    <t>23/649</t>
  </si>
  <si>
    <t>RI: L1=UP TH (VK S-25)</t>
  </si>
  <si>
    <t>ME 2306</t>
  </si>
  <si>
    <t>23/613</t>
  </si>
  <si>
    <t>ME 2214</t>
  </si>
  <si>
    <t>22/635</t>
  </si>
  <si>
    <t>ME 2202</t>
  </si>
  <si>
    <t>22/605</t>
  </si>
  <si>
    <t>ME 2108</t>
  </si>
  <si>
    <t>21/619</t>
  </si>
  <si>
    <t>VVH S-63</t>
  </si>
  <si>
    <t>20/631</t>
  </si>
  <si>
    <t>VVH S-62</t>
  </si>
  <si>
    <t>20/601</t>
  </si>
  <si>
    <t>RI: L1=GC UDL</t>
  </si>
  <si>
    <t>VVH S-52</t>
  </si>
  <si>
    <t>19/615</t>
  </si>
  <si>
    <t>VVH S-51</t>
  </si>
  <si>
    <t>VVH S-44</t>
  </si>
  <si>
    <t>18/659</t>
  </si>
  <si>
    <t>VVH S-36</t>
  </si>
  <si>
    <t>18/613</t>
  </si>
  <si>
    <t>RI: L1=CLA S-50; L2=DN LTT; L3=UP LTT; R1=F-LOOP; R2=UP TH</t>
  </si>
  <si>
    <t>VVH S-102</t>
  </si>
  <si>
    <t>UP LTT</t>
  </si>
  <si>
    <t>RI: L1=PF-1; R1=PF-3 TO 6</t>
  </si>
  <si>
    <t>VVH S-103</t>
  </si>
  <si>
    <t>DN LTT</t>
  </si>
  <si>
    <t>RI: L1=PF-1 TO 3; R1=PF-5 TO 7</t>
  </si>
  <si>
    <t>KYN- CLA</t>
  </si>
  <si>
    <t>48/15 ES</t>
  </si>
  <si>
    <t>47/10 ES</t>
  </si>
  <si>
    <t>PNVL-BSR</t>
  </si>
  <si>
    <t>DCC S-11</t>
  </si>
  <si>
    <t>43/21</t>
  </si>
  <si>
    <t>RI: L1= DCC LL</t>
  </si>
  <si>
    <t>DCC S-28</t>
  </si>
  <si>
    <t>44/49</t>
  </si>
  <si>
    <t>DI S-8</t>
  </si>
  <si>
    <t>46/08</t>
  </si>
  <si>
    <t>DI S-5</t>
  </si>
  <si>
    <t>48/14</t>
  </si>
  <si>
    <t>49/02</t>
  </si>
  <si>
    <t>50/02</t>
  </si>
  <si>
    <t>50/22</t>
  </si>
  <si>
    <t>51/26</t>
  </si>
  <si>
    <t>54/12</t>
  </si>
  <si>
    <t>BIRD S-2</t>
  </si>
  <si>
    <t>BIRD</t>
  </si>
  <si>
    <t>Bhiwandi</t>
  </si>
  <si>
    <t>RI: L1= UDL-1; L2= UDL-2</t>
  </si>
  <si>
    <t>BIRD S-5</t>
  </si>
  <si>
    <t>57/02</t>
  </si>
  <si>
    <t>BIRD S-8</t>
  </si>
  <si>
    <t>59/16</t>
  </si>
  <si>
    <t>BIRD IBS</t>
  </si>
  <si>
    <t>60/16</t>
  </si>
  <si>
    <t>KHBV S-2</t>
  </si>
  <si>
    <t>KHBV</t>
  </si>
  <si>
    <t>Kharbav</t>
  </si>
  <si>
    <t>63/24</t>
  </si>
  <si>
    <t>KHBV S-6</t>
  </si>
  <si>
    <t>65/02</t>
  </si>
  <si>
    <t>KHBV S-8</t>
  </si>
  <si>
    <t>65/18</t>
  </si>
  <si>
    <t>68/20</t>
  </si>
  <si>
    <t>KHBV IBS</t>
  </si>
  <si>
    <t>KARD DIST</t>
  </si>
  <si>
    <t>KARD</t>
  </si>
  <si>
    <t>Kaman Roaad</t>
  </si>
  <si>
    <t>70/36</t>
  </si>
  <si>
    <t>KARD S-2</t>
  </si>
  <si>
    <t>KARD S-4</t>
  </si>
  <si>
    <t>73/14</t>
  </si>
  <si>
    <t>KARD S-8</t>
  </si>
  <si>
    <t>73/30</t>
  </si>
  <si>
    <t>76/38</t>
  </si>
  <si>
    <t>KARD IBS</t>
  </si>
  <si>
    <t>78/04</t>
  </si>
  <si>
    <t xml:space="preserve">Gate Distant </t>
  </si>
  <si>
    <t>78/36</t>
  </si>
  <si>
    <t>Gate-10</t>
  </si>
  <si>
    <t>79/36</t>
  </si>
  <si>
    <t>BSR DIST</t>
  </si>
  <si>
    <t>BSR</t>
  </si>
  <si>
    <t>Vasai Road</t>
  </si>
  <si>
    <t>81/16</t>
  </si>
  <si>
    <t>BSR  S-17</t>
  </si>
  <si>
    <t>82/26</t>
  </si>
  <si>
    <t>RI: L1=S-23</t>
  </si>
  <si>
    <t>BSR S-27</t>
  </si>
  <si>
    <t>RI: L1=DW-4; R1=DW-6</t>
  </si>
  <si>
    <t>BSR S-55</t>
  </si>
  <si>
    <t>RI: L1=WR</t>
  </si>
  <si>
    <t>BSR S-57</t>
  </si>
  <si>
    <t>DW-4 STR</t>
  </si>
  <si>
    <t>BSR S-59</t>
  </si>
  <si>
    <t>PF-6 STR
(DW-5)</t>
  </si>
  <si>
    <t>BSR S-61</t>
  </si>
  <si>
    <t>PF-7 STR
(DW-6)</t>
  </si>
  <si>
    <t>BSR S-48</t>
  </si>
  <si>
    <t>BSR-PNVL</t>
  </si>
  <si>
    <t>RI: R1=WR UP TH; R2=WR UP LL</t>
  </si>
  <si>
    <t>BSR S-18</t>
  </si>
  <si>
    <t>82/37</t>
  </si>
  <si>
    <t>81/15</t>
  </si>
  <si>
    <t>79/17</t>
  </si>
  <si>
    <t>80/15</t>
  </si>
  <si>
    <t>BSR IBS</t>
  </si>
  <si>
    <t>78/17</t>
  </si>
  <si>
    <t>Kaman Road</t>
  </si>
  <si>
    <t>74/33</t>
  </si>
  <si>
    <t>KARD S-20</t>
  </si>
  <si>
    <t>73/33</t>
  </si>
  <si>
    <t>KARD S-18</t>
  </si>
  <si>
    <t>72/29A</t>
  </si>
  <si>
    <t>KARD S-16</t>
  </si>
  <si>
    <t>72/11</t>
  </si>
  <si>
    <t>70/35</t>
  </si>
  <si>
    <t>69/37</t>
  </si>
  <si>
    <t>KHBV DIST</t>
  </si>
  <si>
    <t>66/21</t>
  </si>
  <si>
    <t>KHBV S-30</t>
  </si>
  <si>
    <t>65/19</t>
  </si>
  <si>
    <t>KHBV S-21</t>
  </si>
  <si>
    <t>KHBV S-20</t>
  </si>
  <si>
    <t>63/39</t>
  </si>
  <si>
    <t>61/29</t>
  </si>
  <si>
    <t xml:space="preserve">KHBV IBS </t>
  </si>
  <si>
    <t>60/31</t>
  </si>
  <si>
    <t>BIRD DIST</t>
  </si>
  <si>
    <t>58/43</t>
  </si>
  <si>
    <t>BIRD S-30</t>
  </si>
  <si>
    <t>57/27</t>
  </si>
  <si>
    <t xml:space="preserve">RI: L1=UP LL-1; L2=UP LL-2; R1=UDL-1; R2=UDL-2 </t>
  </si>
  <si>
    <t>BIRD S-23</t>
  </si>
  <si>
    <t>56/09A</t>
  </si>
  <si>
    <t>BIRD S-20</t>
  </si>
  <si>
    <t>53/27</t>
  </si>
  <si>
    <t>52/19</t>
  </si>
  <si>
    <t>51/21</t>
  </si>
  <si>
    <t>GATE-1</t>
  </si>
  <si>
    <t>50/17</t>
  </si>
  <si>
    <t>KOPAR DIST</t>
  </si>
  <si>
    <t>49/37</t>
  </si>
  <si>
    <t>DI S-3</t>
  </si>
  <si>
    <t>Diwa</t>
  </si>
  <si>
    <t>48/23</t>
  </si>
  <si>
    <t>DI S-6</t>
  </si>
  <si>
    <t>46/29</t>
  </si>
  <si>
    <t>DCC S-35</t>
  </si>
  <si>
    <t>Datiwali</t>
  </si>
  <si>
    <t>45/29</t>
  </si>
  <si>
    <t>RI: R1=DCC LL</t>
  </si>
  <si>
    <t>DCC S-19</t>
  </si>
  <si>
    <t>45/21</t>
  </si>
  <si>
    <t>RI: R1=DW</t>
  </si>
  <si>
    <t>DCC S-20</t>
  </si>
  <si>
    <t>DCC CHORD</t>
  </si>
  <si>
    <t>DCC S-4</t>
  </si>
  <si>
    <t>DCC CHORD STR</t>
  </si>
  <si>
    <t xml:space="preserve">PEN S-6 </t>
  </si>
  <si>
    <t>PEN S-12</t>
  </si>
  <si>
    <t xml:space="preserve">GATE DIST </t>
  </si>
  <si>
    <t>GATE SIGNAL</t>
  </si>
  <si>
    <t>JSWD S-2</t>
  </si>
  <si>
    <t>JSWD</t>
  </si>
  <si>
    <t>JSWD S-8</t>
  </si>
  <si>
    <t>PPDP DISTANT</t>
  </si>
  <si>
    <t>PPDP</t>
  </si>
  <si>
    <t>PPDP S-2</t>
  </si>
  <si>
    <t>PPDP S-3</t>
  </si>
  <si>
    <t>PPDP S-8</t>
  </si>
  <si>
    <t>PPDP S-20</t>
  </si>
  <si>
    <t>PPDP S-19</t>
  </si>
  <si>
    <t>PPDP S-15</t>
  </si>
  <si>
    <t xml:space="preserve">JSWD DISTANT </t>
  </si>
  <si>
    <t>JSWD S-20</t>
  </si>
  <si>
    <t>JSWD S-19</t>
  </si>
  <si>
    <t>JSWD S-15</t>
  </si>
  <si>
    <t>GATE-20</t>
  </si>
  <si>
    <t>PEN DISTANT</t>
  </si>
  <si>
    <t>PEN S-44</t>
  </si>
  <si>
    <t>Type</t>
  </si>
  <si>
    <t>function</t>
  </si>
  <si>
    <t>Double Distant</t>
  </si>
  <si>
    <t>Inner Distant</t>
  </si>
  <si>
    <t>Board</t>
  </si>
  <si>
    <t>Other</t>
  </si>
  <si>
    <t>Intermediate Starter</t>
  </si>
  <si>
    <t>station_km_text</t>
  </si>
  <si>
    <t>0.00 KM</t>
  </si>
  <si>
    <t>4.04 KM</t>
  </si>
  <si>
    <t>7.65 KM</t>
  </si>
  <si>
    <t>8.85 KM</t>
  </si>
  <si>
    <t>MTN</t>
  </si>
  <si>
    <t>Matunga</t>
  </si>
  <si>
    <t>10.12 KM</t>
  </si>
  <si>
    <t>Sion</t>
  </si>
  <si>
    <t>12.71 KM</t>
  </si>
  <si>
    <t>15.39 KM</t>
  </si>
  <si>
    <t>GC</t>
  </si>
  <si>
    <t>Ghatkopar</t>
  </si>
  <si>
    <t>19.30 KM</t>
  </si>
  <si>
    <t>22.85 KM</t>
  </si>
  <si>
    <t>26.56 KM</t>
  </si>
  <si>
    <t>30.56 KM</t>
  </si>
  <si>
    <t>33.02 KM</t>
  </si>
  <si>
    <t>33.45 KM</t>
  </si>
  <si>
    <t>MBQ</t>
  </si>
  <si>
    <t>Mumbra</t>
  </si>
  <si>
    <t>40.01 KM</t>
  </si>
  <si>
    <t>42.30 KM</t>
  </si>
  <si>
    <t>48.06 KM</t>
  </si>
  <si>
    <t>53.21 KM</t>
  </si>
  <si>
    <t>KYN S-49</t>
  </si>
  <si>
    <t>Curve with inadequate cant.</t>
  </si>
  <si>
    <t>2/316</t>
  </si>
  <si>
    <t>2/326</t>
  </si>
  <si>
    <t>3/326</t>
  </si>
  <si>
    <t>3/342</t>
  </si>
  <si>
    <t>Curve with inadequate cant due to turnout</t>
  </si>
  <si>
    <t>6/302</t>
  </si>
  <si>
    <t>6/306</t>
  </si>
  <si>
    <t>Less clearance under CRD ROB</t>
  </si>
  <si>
    <t>For AC/DC EMU only</t>
  </si>
  <si>
    <t>7/320</t>
  </si>
  <si>
    <t>7/326</t>
  </si>
  <si>
    <t>Curve with deficient cant due to turnout</t>
  </si>
  <si>
    <t>10/322</t>
  </si>
  <si>
    <t>10/330</t>
  </si>
  <si>
    <t>Ordinary diamond on curve</t>
  </si>
  <si>
    <t>17/348</t>
  </si>
  <si>
    <t>18/308</t>
  </si>
  <si>
    <t>36/431</t>
  </si>
  <si>
    <t>36/356</t>
  </si>
  <si>
    <t>Due to limited transition length and compound</t>
  </si>
  <si>
    <t>37/356</t>
  </si>
  <si>
    <t>38/310A</t>
  </si>
  <si>
    <t>Due to limited transition length</t>
  </si>
  <si>
    <t>41/318</t>
  </si>
  <si>
    <t>52/38</t>
  </si>
  <si>
    <t>52/51</t>
  </si>
  <si>
    <t>PNVL S-422</t>
  </si>
  <si>
    <t>HB</t>
  </si>
  <si>
    <t>PNVL PF-2</t>
  </si>
  <si>
    <t>PNVL S-425</t>
  </si>
  <si>
    <t>48/H207</t>
  </si>
  <si>
    <t>H-4714</t>
  </si>
  <si>
    <t>47/H237</t>
  </si>
  <si>
    <t>H-4704</t>
  </si>
  <si>
    <t>47/H211</t>
  </si>
  <si>
    <t>H-4614</t>
  </si>
  <si>
    <t>46/H235</t>
  </si>
  <si>
    <t>H-4608</t>
  </si>
  <si>
    <t>46/H217</t>
  </si>
  <si>
    <t>H-4600</t>
  </si>
  <si>
    <t>45/H247</t>
  </si>
  <si>
    <t>H-4512</t>
  </si>
  <si>
    <t>45/H29</t>
  </si>
  <si>
    <t>H-4506</t>
  </si>
  <si>
    <t>KNDS PF-2</t>
  </si>
  <si>
    <t>H-4418</t>
  </si>
  <si>
    <t>44/H235</t>
  </si>
  <si>
    <t>H-4406</t>
  </si>
  <si>
    <t>44/H209</t>
  </si>
  <si>
    <t>H-4314</t>
  </si>
  <si>
    <t>43/H229</t>
  </si>
  <si>
    <t>H-4306</t>
  </si>
  <si>
    <t>MANR PF-2</t>
  </si>
  <si>
    <t>H-4216</t>
  </si>
  <si>
    <t>42/H233</t>
  </si>
  <si>
    <t>H-4210</t>
  </si>
  <si>
    <t>42/H219</t>
  </si>
  <si>
    <t>H-4202</t>
  </si>
  <si>
    <t>42/H203</t>
  </si>
  <si>
    <t>H-4116</t>
  </si>
  <si>
    <t>41/H231</t>
  </si>
  <si>
    <t>H-4106</t>
  </si>
  <si>
    <t>41/H213</t>
  </si>
  <si>
    <t>H-4014</t>
  </si>
  <si>
    <t>40/H229</t>
  </si>
  <si>
    <t>H-4006</t>
  </si>
  <si>
    <t>KHAG PF-2</t>
  </si>
  <si>
    <t>H-4000</t>
  </si>
  <si>
    <t>39/H239</t>
  </si>
  <si>
    <t>H-3912</t>
  </si>
  <si>
    <t>39/H217</t>
  </si>
  <si>
    <t>BEPR S-23</t>
  </si>
  <si>
    <t>39/H201</t>
  </si>
  <si>
    <t>BEPR S-12</t>
  </si>
  <si>
    <t>38/H217</t>
  </si>
  <si>
    <t>BEPR S-5</t>
  </si>
  <si>
    <t>BEPR PF-3</t>
  </si>
  <si>
    <t>BEPR S-3</t>
  </si>
  <si>
    <t>37/H235</t>
  </si>
  <si>
    <t>H-3706</t>
  </si>
  <si>
    <t>37/H219</t>
  </si>
  <si>
    <t>H-3620</t>
  </si>
  <si>
    <t>36/H245</t>
  </si>
  <si>
    <t>H-3602</t>
  </si>
  <si>
    <t>36/H205</t>
  </si>
  <si>
    <t>H-3514</t>
  </si>
  <si>
    <t>SEWD PF-2</t>
  </si>
  <si>
    <t>NEU S-42</t>
  </si>
  <si>
    <t>35/H217</t>
  </si>
  <si>
    <t>RI: R1=PF-3; R2=PF-2; R3=PF-1</t>
  </si>
  <si>
    <t>NEU S-23</t>
  </si>
  <si>
    <t>NEU PF-4</t>
  </si>
  <si>
    <t>NEU S-5</t>
  </si>
  <si>
    <t>33/H233</t>
  </si>
  <si>
    <t>JNJ S-30</t>
  </si>
  <si>
    <t>33/H203</t>
  </si>
  <si>
    <t>RI: L1=CARSHED</t>
  </si>
  <si>
    <t>JNJ S-29</t>
  </si>
  <si>
    <t>32/H205</t>
  </si>
  <si>
    <t>JNJ S-20</t>
  </si>
  <si>
    <t>JNJ S-21</t>
  </si>
  <si>
    <t>JNJ PF-4</t>
  </si>
  <si>
    <t>H-3110</t>
  </si>
  <si>
    <t>31/H223</t>
  </si>
  <si>
    <t>H-3018</t>
  </si>
  <si>
    <t>30/H239</t>
  </si>
  <si>
    <t>H-3004</t>
  </si>
  <si>
    <t>30/H211</t>
  </si>
  <si>
    <t>H-2936</t>
  </si>
  <si>
    <t>SNPD PF-4</t>
  </si>
  <si>
    <t>VSH S-30</t>
  </si>
  <si>
    <t>29/H225</t>
  </si>
  <si>
    <t>RI: R1=PF-3; R2=PF-2</t>
  </si>
  <si>
    <t>VSH S-17</t>
  </si>
  <si>
    <t>VSH PF-4</t>
  </si>
  <si>
    <t>VSH S-25</t>
  </si>
  <si>
    <t>28/H221</t>
  </si>
  <si>
    <t>H-2804</t>
  </si>
  <si>
    <t>27/H243</t>
  </si>
  <si>
    <t>H-2728</t>
  </si>
  <si>
    <t>27/H227</t>
  </si>
  <si>
    <t>H-2710</t>
  </si>
  <si>
    <t>27/H209</t>
  </si>
  <si>
    <t>H-2614</t>
  </si>
  <si>
    <t>26/H27</t>
  </si>
  <si>
    <t>H-2604</t>
  </si>
  <si>
    <t>26/H207</t>
  </si>
  <si>
    <t>H-2514</t>
  </si>
  <si>
    <t>25/H227</t>
  </si>
  <si>
    <t>H-2504</t>
  </si>
  <si>
    <t>25/H209</t>
  </si>
  <si>
    <t>H-2412</t>
  </si>
  <si>
    <t>24/H233</t>
  </si>
  <si>
    <t>H-2404</t>
  </si>
  <si>
    <t>24/H207</t>
  </si>
  <si>
    <t>H-2314</t>
  </si>
  <si>
    <t>23/H229</t>
  </si>
  <si>
    <t>H-2306</t>
  </si>
  <si>
    <t>23/H213</t>
  </si>
  <si>
    <t>H-2216</t>
  </si>
  <si>
    <t>22/H243</t>
  </si>
  <si>
    <t>H-2212</t>
  </si>
  <si>
    <t>22/H223</t>
  </si>
  <si>
    <t>MNKD S-30</t>
  </si>
  <si>
    <t>22/H209</t>
  </si>
  <si>
    <t>RI: R1=PF-1</t>
  </si>
  <si>
    <t>MNKD S-29</t>
  </si>
  <si>
    <t>21/H247</t>
  </si>
  <si>
    <t>MNKD S-22</t>
  </si>
  <si>
    <t>MNKD PF-2</t>
  </si>
  <si>
    <t>MNKD S-20</t>
  </si>
  <si>
    <t>20/H245</t>
  </si>
  <si>
    <t>H-58</t>
  </si>
  <si>
    <t>20/H209</t>
  </si>
  <si>
    <t>H-56</t>
  </si>
  <si>
    <t>GV-PF2</t>
  </si>
  <si>
    <t>H-54</t>
  </si>
  <si>
    <t>18/H234</t>
  </si>
  <si>
    <t>CMBR S-2</t>
  </si>
  <si>
    <t>18/H207</t>
  </si>
  <si>
    <t>CMBR S-4</t>
  </si>
  <si>
    <t>CMBR PF-2</t>
  </si>
  <si>
    <t>H-52</t>
  </si>
  <si>
    <t>15/H237</t>
  </si>
  <si>
    <t>CLA S-28</t>
  </si>
  <si>
    <t>16/H223</t>
  </si>
  <si>
    <t>CLA S-29</t>
  </si>
  <si>
    <t>15/H249</t>
  </si>
  <si>
    <t>RI: L1=CLA GDS</t>
  </si>
  <si>
    <t>CLA S-44</t>
  </si>
  <si>
    <t xml:space="preserve">CLA PF-8 </t>
  </si>
  <si>
    <t>CLA S-48</t>
  </si>
  <si>
    <t>14/H25</t>
  </si>
  <si>
    <t>RI: R1=UP TH</t>
  </si>
  <si>
    <t>H-50</t>
  </si>
  <si>
    <t>13/H235</t>
  </si>
  <si>
    <t>H-48</t>
  </si>
  <si>
    <t>CHF PF-2</t>
  </si>
  <si>
    <t>H-46</t>
  </si>
  <si>
    <t>12/H213</t>
  </si>
  <si>
    <t>H-44</t>
  </si>
  <si>
    <t>GTBN PF-2</t>
  </si>
  <si>
    <t>RVJ S-24</t>
  </si>
  <si>
    <t>Wadala Road</t>
  </si>
  <si>
    <t>10/H241</t>
  </si>
  <si>
    <t>RI: L1=BPT YD</t>
  </si>
  <si>
    <t>RVJ S-19</t>
  </si>
  <si>
    <t>10/H209</t>
  </si>
  <si>
    <t>RVJ S-11</t>
  </si>
  <si>
    <t>09/H231</t>
  </si>
  <si>
    <t>RVJ S-4</t>
  </si>
  <si>
    <t>VDLR PF-4</t>
  </si>
  <si>
    <t>H-38</t>
  </si>
  <si>
    <t>08/H241</t>
  </si>
  <si>
    <t>H-36</t>
  </si>
  <si>
    <t>07/H293</t>
  </si>
  <si>
    <t>H-34</t>
  </si>
  <si>
    <t>07/H237A</t>
  </si>
  <si>
    <t>H-32</t>
  </si>
  <si>
    <t>SVE PF-2</t>
  </si>
  <si>
    <t>H-30</t>
  </si>
  <si>
    <t>6/H221</t>
  </si>
  <si>
    <t>H-28</t>
  </si>
  <si>
    <t>5/H241</t>
  </si>
  <si>
    <t>H-26</t>
  </si>
  <si>
    <t>5/H227</t>
  </si>
  <si>
    <t>H-24</t>
  </si>
  <si>
    <t>CTGN PF-2</t>
  </si>
  <si>
    <t>H-20</t>
  </si>
  <si>
    <t>4/H229</t>
  </si>
  <si>
    <t>H-18</t>
  </si>
  <si>
    <t>RRD PF-2</t>
  </si>
  <si>
    <t>H-16</t>
  </si>
  <si>
    <t>3/H237</t>
  </si>
  <si>
    <t>H-14</t>
  </si>
  <si>
    <t>3/H207</t>
  </si>
  <si>
    <t>H-12</t>
  </si>
  <si>
    <t>DKRD PF-2</t>
  </si>
  <si>
    <t>H-10</t>
  </si>
  <si>
    <t>2/H225</t>
  </si>
  <si>
    <t>H-08</t>
  </si>
  <si>
    <t>SNRD PF-4</t>
  </si>
  <si>
    <t>H-06</t>
  </si>
  <si>
    <t>1/H239</t>
  </si>
  <si>
    <t>H-04</t>
  </si>
  <si>
    <t>1/H144</t>
  </si>
  <si>
    <t>CSMT S-57</t>
  </si>
  <si>
    <t>MSD PF-2</t>
  </si>
  <si>
    <t>CSMT S-53</t>
  </si>
  <si>
    <t>CMST/0281</t>
  </si>
  <si>
    <t>RI: L1=S-24; L2=S-26; L3=S-27</t>
  </si>
  <si>
    <t>CSMT S-46</t>
  </si>
  <si>
    <t>CSMT/166</t>
  </si>
  <si>
    <t>CSMT S-23</t>
  </si>
  <si>
    <t>CSMT/0239</t>
  </si>
  <si>
    <t>PNVL-CSMT</t>
  </si>
  <si>
    <t>40/990</t>
  </si>
  <si>
    <t>Due to Sharp curve of 2.94°</t>
  </si>
  <si>
    <t>39/807</t>
  </si>
  <si>
    <t>38/668</t>
  </si>
  <si>
    <t>Due to Sharp curve of 4°</t>
  </si>
  <si>
    <t>38/9</t>
  </si>
  <si>
    <t>38/5</t>
  </si>
  <si>
    <t>Reverse Curves with T/out</t>
  </si>
  <si>
    <t>38/3</t>
  </si>
  <si>
    <t>37/25A</t>
  </si>
  <si>
    <t>Due to inadequate transition length.</t>
  </si>
  <si>
    <t>37/16A</t>
  </si>
  <si>
    <t>37/001</t>
  </si>
  <si>
    <t>36/546</t>
  </si>
  <si>
    <t>Due to Sharp curve</t>
  </si>
  <si>
    <t>36/4 ES</t>
  </si>
  <si>
    <t>36/1 ES</t>
  </si>
  <si>
    <t>Due to inadequate transition &amp; Reverse Curve.</t>
  </si>
  <si>
    <t>34/170</t>
  </si>
  <si>
    <t>34/060</t>
  </si>
  <si>
    <t>Due to Sharp curve of 3.94°</t>
  </si>
  <si>
    <t>33/530</t>
  </si>
  <si>
    <t>33/364</t>
  </si>
  <si>
    <t>32/310</t>
  </si>
  <si>
    <t>31/391</t>
  </si>
  <si>
    <t>1/12 T/out with non transitioned reverse curve of 4°</t>
  </si>
  <si>
    <t>28/430</t>
  </si>
  <si>
    <t>27/820</t>
  </si>
  <si>
    <t>21/21 ES</t>
  </si>
  <si>
    <t>Non transition reverse Curve of 4°</t>
  </si>
  <si>
    <t>16/0 ES</t>
  </si>
  <si>
    <t>15/15</t>
  </si>
  <si>
    <t>Sharp curve of 10° with inadequate cant</t>
  </si>
  <si>
    <t>5/16 ES</t>
  </si>
  <si>
    <t>2/19 ES</t>
  </si>
  <si>
    <t>Heavy Grade and sharp curve of 6.75°</t>
  </si>
  <si>
    <t>2/8 ES</t>
  </si>
  <si>
    <t>1/17 ES</t>
  </si>
  <si>
    <t>Inadequate cant due to infringement</t>
  </si>
  <si>
    <t>H-8</t>
  </si>
  <si>
    <t>1/20 ES</t>
  </si>
  <si>
    <t>1/2 ES</t>
  </si>
  <si>
    <t>Inadequate track centres on curvatures</t>
  </si>
  <si>
    <t>0/1</t>
  </si>
  <si>
    <t>WAM 23+67</t>
  </si>
  <si>
    <t>Due to curvature &amp; inadequate cant due to T/out</t>
  </si>
  <si>
    <t>PNVL S-421</t>
  </si>
  <si>
    <t>CSMT 0.00KM</t>
  </si>
  <si>
    <t>URAN S-22</t>
  </si>
  <si>
    <t>URAN</t>
  </si>
  <si>
    <t>Uran</t>
  </si>
  <si>
    <t>DN BSU LINE</t>
  </si>
  <si>
    <t>URAN S-21</t>
  </si>
  <si>
    <t>NU-42</t>
  </si>
  <si>
    <t>NU-40</t>
  </si>
  <si>
    <t>55/33</t>
  </si>
  <si>
    <t>NU-38</t>
  </si>
  <si>
    <t>54/39</t>
  </si>
  <si>
    <t>NU-36</t>
  </si>
  <si>
    <t>53/40</t>
  </si>
  <si>
    <t>NU-34</t>
  </si>
  <si>
    <t>53/35</t>
  </si>
  <si>
    <t>NU-32</t>
  </si>
  <si>
    <t>51/34</t>
  </si>
  <si>
    <t>NU-30</t>
  </si>
  <si>
    <t>50/43</t>
  </si>
  <si>
    <t>NU-28</t>
  </si>
  <si>
    <t>50/5</t>
  </si>
  <si>
    <t>NU-26</t>
  </si>
  <si>
    <t>49/7</t>
  </si>
  <si>
    <t>NU-24</t>
  </si>
  <si>
    <t>47/53</t>
  </si>
  <si>
    <t>NU-22</t>
  </si>
  <si>
    <t>46/47</t>
  </si>
  <si>
    <t>NU-20</t>
  </si>
  <si>
    <t>45/35</t>
  </si>
  <si>
    <t>KHKR S-9</t>
  </si>
  <si>
    <t>KHKR</t>
  </si>
  <si>
    <t>Kharkopar</t>
  </si>
  <si>
    <t>44/47</t>
  </si>
  <si>
    <t>KHKR S-8</t>
  </si>
  <si>
    <t>KHKR S-7</t>
  </si>
  <si>
    <t>NU-18</t>
  </si>
  <si>
    <t>42/39</t>
  </si>
  <si>
    <t>NU-16</t>
  </si>
  <si>
    <t>41/35</t>
  </si>
  <si>
    <t>NU-14</t>
  </si>
  <si>
    <t>NU-12</t>
  </si>
  <si>
    <t>39/51</t>
  </si>
  <si>
    <t>NU-10</t>
  </si>
  <si>
    <t>39/9</t>
  </si>
  <si>
    <t>NU-08</t>
  </si>
  <si>
    <t>KILE S-6</t>
  </si>
  <si>
    <t>KILE</t>
  </si>
  <si>
    <t>Kile Cabin</t>
  </si>
  <si>
    <t>37/25</t>
  </si>
  <si>
    <t>RI: R1=BEPR</t>
  </si>
  <si>
    <t>NU-4</t>
  </si>
  <si>
    <t>NU-2</t>
  </si>
  <si>
    <t>NEU S-44</t>
  </si>
  <si>
    <t>UP BSU LINE</t>
  </si>
  <si>
    <t>URAN 57.33 KM</t>
  </si>
  <si>
    <t>DRONAGIRI 56/23 KM</t>
  </si>
  <si>
    <t>NHAVA SHEVA  53/13 KM</t>
  </si>
  <si>
    <t>SHEMATI KHAR  50/9 KM</t>
  </si>
  <si>
    <t>GAVHAN  46.21 KM</t>
  </si>
  <si>
    <t>KHARKOPAR  43.34 KM</t>
  </si>
  <si>
    <t>BAMAN DONGRI  41.44 KM</t>
  </si>
  <si>
    <t>TARGHAR  39.60 KM</t>
  </si>
  <si>
    <t>KILE CABIN 37.03 KM</t>
  </si>
  <si>
    <t>SEAWOOD DARAVE KARAVE 35.25 KM</t>
  </si>
  <si>
    <t>NERUL 34.15 KM</t>
  </si>
  <si>
    <t>NEU S-35</t>
  </si>
  <si>
    <t>NEU S-36</t>
  </si>
  <si>
    <t>NEU S-43</t>
  </si>
  <si>
    <t>35/20</t>
  </si>
  <si>
    <t>NU-1</t>
  </si>
  <si>
    <t>PF-STR</t>
  </si>
  <si>
    <t>KILE S-2</t>
  </si>
  <si>
    <t>36/48</t>
  </si>
  <si>
    <t>NU-3</t>
  </si>
  <si>
    <t>37/26</t>
  </si>
  <si>
    <t>NU-5</t>
  </si>
  <si>
    <t>38/38</t>
  </si>
  <si>
    <t>NU-7</t>
  </si>
  <si>
    <t>39/22</t>
  </si>
  <si>
    <t>NU-9</t>
  </si>
  <si>
    <t>40/16</t>
  </si>
  <si>
    <t>NU-11</t>
  </si>
  <si>
    <t>41/20</t>
  </si>
  <si>
    <t>NU-13</t>
  </si>
  <si>
    <t>42/22</t>
  </si>
  <si>
    <t>KHKR S-2</t>
  </si>
  <si>
    <t>43/18</t>
  </si>
  <si>
    <t>KHKR S-4</t>
  </si>
  <si>
    <t>NU-15</t>
  </si>
  <si>
    <t>45/10</t>
  </si>
  <si>
    <t>NU-17</t>
  </si>
  <si>
    <t>46/16</t>
  </si>
  <si>
    <t>NU-19</t>
  </si>
  <si>
    <t>47/14</t>
  </si>
  <si>
    <t>NU-21</t>
  </si>
  <si>
    <t>48/26</t>
  </si>
  <si>
    <t>NU-23</t>
  </si>
  <si>
    <t>49/14</t>
  </si>
  <si>
    <t>NU-25</t>
  </si>
  <si>
    <t>50/6</t>
  </si>
  <si>
    <t>NU-27</t>
  </si>
  <si>
    <t>51/4</t>
  </si>
  <si>
    <t>NU-29</t>
  </si>
  <si>
    <t>52/6</t>
  </si>
  <si>
    <t>NU-31</t>
  </si>
  <si>
    <t>53/10</t>
  </si>
  <si>
    <t>NU-33</t>
  </si>
  <si>
    <t>NU-35</t>
  </si>
  <si>
    <t>55/8</t>
  </si>
  <si>
    <t>NU-37</t>
  </si>
  <si>
    <t>56/2</t>
  </si>
  <si>
    <t>NU-39</t>
  </si>
  <si>
    <t>56/36</t>
  </si>
  <si>
    <t>URAN S-2</t>
  </si>
  <si>
    <t xml:space="preserve">Uran </t>
  </si>
  <si>
    <t>57/20</t>
  </si>
  <si>
    <t>BEPR S-31</t>
  </si>
  <si>
    <t>BEPR-URAN</t>
  </si>
  <si>
    <t>BEPR S-33</t>
  </si>
  <si>
    <t>37/11</t>
  </si>
  <si>
    <t>KILE S-3</t>
  </si>
  <si>
    <t>36/19</t>
  </si>
  <si>
    <t>KILE S-4</t>
  </si>
  <si>
    <t>37/13</t>
  </si>
  <si>
    <t>38/36</t>
  </si>
  <si>
    <t>40/14</t>
  </si>
  <si>
    <t>41/18</t>
  </si>
  <si>
    <t>42/20</t>
  </si>
  <si>
    <t>KARP S-2</t>
  </si>
  <si>
    <t>KARP</t>
  </si>
  <si>
    <t>43/16</t>
  </si>
  <si>
    <t>KARP S-4</t>
  </si>
  <si>
    <t>KARP S-5</t>
  </si>
  <si>
    <t>45/06</t>
  </si>
  <si>
    <t>46/12</t>
  </si>
  <si>
    <t>47/08</t>
  </si>
  <si>
    <t>48/22</t>
  </si>
  <si>
    <t>49/10</t>
  </si>
  <si>
    <t>50/42</t>
  </si>
  <si>
    <t>52/02</t>
  </si>
  <si>
    <t>53/06</t>
  </si>
  <si>
    <t>55/06</t>
  </si>
  <si>
    <t>55/36</t>
  </si>
  <si>
    <t>57/16</t>
  </si>
  <si>
    <t>BELAPUR 34.15 KM</t>
  </si>
  <si>
    <t>TARGHAR 39.60 KM</t>
  </si>
  <si>
    <t>BAMAN DONGRI 41.44 KM</t>
  </si>
  <si>
    <t>KHARKOPAR 43.34 KM</t>
  </si>
  <si>
    <t>GAVHAN 41.44 KM</t>
  </si>
  <si>
    <t>SHEMATI KHAR 43.34 KM</t>
  </si>
  <si>
    <t>NHAVA SHEVA 43.34 KM</t>
  </si>
  <si>
    <t>DRONAGIRI 56.36</t>
  </si>
  <si>
    <t>URAN 58.8 KM</t>
  </si>
  <si>
    <t>URAN-BEPR</t>
  </si>
  <si>
    <t>56/35</t>
  </si>
  <si>
    <t>54/37</t>
  </si>
  <si>
    <t>53/43</t>
  </si>
  <si>
    <t>52/33</t>
  </si>
  <si>
    <t>51/35</t>
  </si>
  <si>
    <t>49/03</t>
  </si>
  <si>
    <t>47/47</t>
  </si>
  <si>
    <t>46/43</t>
  </si>
  <si>
    <t>45/31</t>
  </si>
  <si>
    <t>44/45</t>
  </si>
  <si>
    <t>40/43</t>
  </si>
  <si>
    <t>NU-8</t>
  </si>
  <si>
    <t>38/37A</t>
  </si>
  <si>
    <t>NU-6</t>
  </si>
  <si>
    <t>36/10</t>
  </si>
  <si>
    <t>BEPR S-34</t>
  </si>
  <si>
    <t>BEPR S-25</t>
  </si>
  <si>
    <t>CSMT 0.00 KM</t>
  </si>
  <si>
    <t>Byculla (BY) 4.04KM</t>
  </si>
  <si>
    <t>Chinchpokli (CHG) 5.53KM</t>
  </si>
  <si>
    <t>Currey Road (CRD) 6.07KM</t>
  </si>
  <si>
    <t>Vidhyavihar (VVH) 17.80KM</t>
  </si>
  <si>
    <t>Kanjur Marg (KJRD) 24.69KM</t>
  </si>
  <si>
    <t>Bhandup (BND) 26.56KM</t>
  </si>
  <si>
    <t>Nahur (NHR) 28.01KM</t>
  </si>
  <si>
    <t>Kalva (KLVA) 35.45KM</t>
  </si>
  <si>
    <t>Kopar (KOPR) 46.86KM</t>
  </si>
  <si>
    <t>DI S-38</t>
  </si>
  <si>
    <t>Thakurli (THK) 49.51KM</t>
  </si>
  <si>
    <t>KYN S-35</t>
  </si>
  <si>
    <t>41/417</t>
  </si>
  <si>
    <t>due to curvature</t>
  </si>
  <si>
    <t>37/437</t>
  </si>
  <si>
    <t>due to limited TL and curve of 2.57 degree</t>
  </si>
  <si>
    <t>36/433</t>
  </si>
  <si>
    <t>due to limited TL and curve and presence of compound curve of 1 degree and 2 .38 degree</t>
  </si>
  <si>
    <t>33/431</t>
  </si>
  <si>
    <t>33/403</t>
  </si>
  <si>
    <t>curve without cant due to turn out</t>
  </si>
  <si>
    <t xml:space="preserve">UP </t>
  </si>
  <si>
    <t>10/405</t>
  </si>
  <si>
    <t>9/445</t>
  </si>
  <si>
    <t xml:space="preserve">reverse curve with inadequate straight in between </t>
  </si>
  <si>
    <t>7/425</t>
  </si>
  <si>
    <t>7/407</t>
  </si>
  <si>
    <t>For AC/DC emu only less clearence under carol ROB</t>
  </si>
  <si>
    <t>6/405</t>
  </si>
  <si>
    <t>6/401</t>
  </si>
  <si>
    <t>For AC/DC emu only less clearence under CRD ROB</t>
  </si>
  <si>
    <t>4/439</t>
  </si>
  <si>
    <t>4/425</t>
  </si>
  <si>
    <t>3/437</t>
  </si>
  <si>
    <t>3/419</t>
  </si>
  <si>
    <t>curve with inadequate cant due to turn out</t>
  </si>
  <si>
    <t>2/429</t>
  </si>
  <si>
    <t>2/415</t>
  </si>
  <si>
    <t>1/453</t>
  </si>
  <si>
    <t>1/407</t>
  </si>
  <si>
    <t>1/405</t>
  </si>
  <si>
    <t>due to curve and inadequate cant due to turn out</t>
  </si>
  <si>
    <t>PNVL S-17</t>
  </si>
  <si>
    <t>69/14</t>
  </si>
  <si>
    <t>GATE DIST</t>
  </si>
  <si>
    <t>72/12</t>
  </si>
  <si>
    <t xml:space="preserve">GATE-23 </t>
  </si>
  <si>
    <t xml:space="preserve">DPL DIST </t>
  </si>
  <si>
    <t>74/24</t>
  </si>
  <si>
    <t>DPL S-1</t>
  </si>
  <si>
    <t>75/40</t>
  </si>
  <si>
    <t>DPL S-8</t>
  </si>
  <si>
    <t>76/52</t>
  </si>
  <si>
    <t>DPL S-7</t>
  </si>
  <si>
    <t>Loop Starter</t>
  </si>
  <si>
    <t>DPL S-9</t>
  </si>
  <si>
    <t>77/18</t>
  </si>
  <si>
    <t>JSLE DIST</t>
  </si>
  <si>
    <t>81/36</t>
  </si>
  <si>
    <t>JSLE S-2</t>
  </si>
  <si>
    <t>83/2</t>
  </si>
  <si>
    <t>JSLE S-34</t>
  </si>
  <si>
    <t>JSLE S-35</t>
  </si>
  <si>
    <t>HYD DIST</t>
  </si>
  <si>
    <t>88/38</t>
  </si>
  <si>
    <t>HYD S-3</t>
  </si>
  <si>
    <t>90/02</t>
  </si>
  <si>
    <t>HYD S-9</t>
  </si>
  <si>
    <t>HYD S-18</t>
  </si>
  <si>
    <t>HYD S-26</t>
  </si>
  <si>
    <t>HYD S-24</t>
  </si>
  <si>
    <t>HYD S-25</t>
  </si>
  <si>
    <t>UDL-3 STR</t>
  </si>
  <si>
    <t>HYD S-22</t>
  </si>
  <si>
    <t>RD-2 STR</t>
  </si>
  <si>
    <t>HYD S-23</t>
  </si>
  <si>
    <t>RD-1 STR</t>
  </si>
  <si>
    <t>HYD S-28</t>
  </si>
  <si>
    <t>93/5</t>
  </si>
  <si>
    <t>HYD S-38</t>
  </si>
  <si>
    <t>93/31</t>
  </si>
  <si>
    <t>HYD S-35</t>
  </si>
  <si>
    <t>93/6</t>
  </si>
  <si>
    <t xml:space="preserve">VDLR-GMN </t>
  </si>
  <si>
    <t>RVJ S-7</t>
  </si>
  <si>
    <t>Vadala Road</t>
  </si>
  <si>
    <t>VDLR PF-2</t>
  </si>
  <si>
    <t>RI: L1=RVJ S-21</t>
  </si>
  <si>
    <t>RVJ S-8</t>
  </si>
  <si>
    <t>VDLR PF-3</t>
  </si>
  <si>
    <t>RVJ S-21</t>
  </si>
  <si>
    <t>10/M110</t>
  </si>
  <si>
    <t>RVJ S-27</t>
  </si>
  <si>
    <t>10/M150</t>
  </si>
  <si>
    <t>M-1101</t>
  </si>
  <si>
    <t>KCE PF-1</t>
  </si>
  <si>
    <t>MM S-17</t>
  </si>
  <si>
    <t>MM</t>
  </si>
  <si>
    <t>Mahim</t>
  </si>
  <si>
    <t>11/M148</t>
  </si>
  <si>
    <t>RI: R1=PF-7; R2= BDTS (WR)</t>
  </si>
  <si>
    <t>MM S-57</t>
  </si>
  <si>
    <t>MM PF-5</t>
  </si>
  <si>
    <t>MM S-59</t>
  </si>
  <si>
    <t>MM PF-6</t>
  </si>
  <si>
    <t>A-904</t>
  </si>
  <si>
    <t>BA S-17</t>
  </si>
  <si>
    <t>BA</t>
  </si>
  <si>
    <t>Bandra</t>
  </si>
  <si>
    <t>BA S-57</t>
  </si>
  <si>
    <t>BA PF-6</t>
  </si>
  <si>
    <t>BA S-77</t>
  </si>
  <si>
    <t>F15/20</t>
  </si>
  <si>
    <t>BA S-87</t>
  </si>
  <si>
    <t>F15/35</t>
  </si>
  <si>
    <t>STC A-918</t>
  </si>
  <si>
    <t>STC</t>
  </si>
  <si>
    <t>Santacruz</t>
  </si>
  <si>
    <t>KHR PF-1</t>
  </si>
  <si>
    <t>STC A-920</t>
  </si>
  <si>
    <t>16/12A</t>
  </si>
  <si>
    <t>STC A-922</t>
  </si>
  <si>
    <t>STC A-924</t>
  </si>
  <si>
    <t>STC PF-1</t>
  </si>
  <si>
    <t>VLP A-928</t>
  </si>
  <si>
    <t>VLP</t>
  </si>
  <si>
    <t>Vile Parle</t>
  </si>
  <si>
    <t>18/8A</t>
  </si>
  <si>
    <t>VLP A-430</t>
  </si>
  <si>
    <t>19/1A</t>
  </si>
  <si>
    <t>VLP A-436</t>
  </si>
  <si>
    <t>VLP PF-1</t>
  </si>
  <si>
    <t>ADH S-25</t>
  </si>
  <si>
    <t>ADH</t>
  </si>
  <si>
    <t>Andheri</t>
  </si>
  <si>
    <t>20/7A</t>
  </si>
  <si>
    <t>RI: R1=ADH S-8</t>
  </si>
  <si>
    <t>ADH S-7</t>
  </si>
  <si>
    <t>20/16</t>
  </si>
  <si>
    <t>RI: R1=PF-2 WR; R2= WR; R3=WR DN TH</t>
  </si>
  <si>
    <t>ADH S-32</t>
  </si>
  <si>
    <t>21/6D</t>
  </si>
  <si>
    <t>ADH S-62</t>
  </si>
  <si>
    <t>ADH PF-1</t>
  </si>
  <si>
    <t>ADH A-940</t>
  </si>
  <si>
    <t>22/8A</t>
  </si>
  <si>
    <t>ADH A-946</t>
  </si>
  <si>
    <t>22/15C</t>
  </si>
  <si>
    <t>ADH A-948</t>
  </si>
  <si>
    <t>23/6C</t>
  </si>
  <si>
    <t>JOS A-950</t>
  </si>
  <si>
    <t>JOS</t>
  </si>
  <si>
    <t>Jogeshwari</t>
  </si>
  <si>
    <t>A-952</t>
  </si>
  <si>
    <t>JOS PF-1</t>
  </si>
  <si>
    <t>A-958</t>
  </si>
  <si>
    <t>24/11B</t>
  </si>
  <si>
    <t>A-960</t>
  </si>
  <si>
    <t>25/1E</t>
  </si>
  <si>
    <t>RMAR A-962</t>
  </si>
  <si>
    <t>RMAR</t>
  </si>
  <si>
    <t>Ram Mandir</t>
  </si>
  <si>
    <t>RMAR PF-1</t>
  </si>
  <si>
    <t>GMN S-30</t>
  </si>
  <si>
    <t>GMN</t>
  </si>
  <si>
    <t>Goregaon</t>
  </si>
  <si>
    <t>25/13C</t>
  </si>
  <si>
    <t>VADALA ROAD (VDLR) 9.11 KM</t>
  </si>
  <si>
    <t>KINGS CIRCLE (KCE) 10.93 KM</t>
  </si>
  <si>
    <t>MAHIM (MM) 12.47 KM</t>
  </si>
  <si>
    <t>MM-57</t>
  </si>
  <si>
    <t>BANDRA (BA) 14.08 KM</t>
  </si>
  <si>
    <t>KHAR ROAD (KHR) 15.63 KM</t>
  </si>
  <si>
    <t>SANTACRUZ (STC) 17.03 KM</t>
  </si>
  <si>
    <t>VILE PARLE (VLP) 19.09 KM</t>
  </si>
  <si>
    <t>ANDHERI (ADH) 21.30 KM</t>
  </si>
  <si>
    <t>JOGESHWARI (JOS) 22.99 KM</t>
  </si>
  <si>
    <t>RAM MANDIR (RMAR) 24.84 KM</t>
  </si>
  <si>
    <t>GOREGAON (GMN) 26.37 KM</t>
  </si>
  <si>
    <t>10/27</t>
  </si>
  <si>
    <t>12/0</t>
  </si>
  <si>
    <t>11/20</t>
  </si>
  <si>
    <t>20/15</t>
  </si>
  <si>
    <t>GMN S-27</t>
  </si>
  <si>
    <t>GMN PF-1</t>
  </si>
  <si>
    <t>GMN S-25</t>
  </si>
  <si>
    <t>GMN PF-2</t>
  </si>
  <si>
    <t>GMN A-963</t>
  </si>
  <si>
    <t>26/1E</t>
  </si>
  <si>
    <t>A-961</t>
  </si>
  <si>
    <t>25/11C</t>
  </si>
  <si>
    <t>A-959</t>
  </si>
  <si>
    <t>RMAR PF-2</t>
  </si>
  <si>
    <t>A-957</t>
  </si>
  <si>
    <t>24/13C</t>
  </si>
  <si>
    <t>A-951</t>
  </si>
  <si>
    <t>24/7C</t>
  </si>
  <si>
    <t>A-949</t>
  </si>
  <si>
    <t>JOS PF-2</t>
  </si>
  <si>
    <t>A-947</t>
  </si>
  <si>
    <t>23/6D</t>
  </si>
  <si>
    <t>A-941</t>
  </si>
  <si>
    <t>22/16D</t>
  </si>
  <si>
    <t>ADH S-82</t>
  </si>
  <si>
    <t>22/9D</t>
  </si>
  <si>
    <t>ADH S-72</t>
  </si>
  <si>
    <t>22/3C</t>
  </si>
  <si>
    <t>ADH S-45</t>
  </si>
  <si>
    <t>ADH PF-2</t>
  </si>
  <si>
    <t>ADH S-58</t>
  </si>
  <si>
    <t>ADH S-42</t>
  </si>
  <si>
    <t>A-435</t>
  </si>
  <si>
    <t>20/1C</t>
  </si>
  <si>
    <t>A-429</t>
  </si>
  <si>
    <t>VLP PF-2</t>
  </si>
  <si>
    <t>A-927</t>
  </si>
  <si>
    <t>18/15B</t>
  </si>
  <si>
    <t>A-921</t>
  </si>
  <si>
    <t>18/7B</t>
  </si>
  <si>
    <t>A-919</t>
  </si>
  <si>
    <t>STC PF-2</t>
  </si>
  <si>
    <t>A-917</t>
  </si>
  <si>
    <t>17/3B</t>
  </si>
  <si>
    <t>BA S-98</t>
  </si>
  <si>
    <t>16/9D</t>
  </si>
  <si>
    <t>BA S-88</t>
  </si>
  <si>
    <t>KHR PF-2</t>
  </si>
  <si>
    <t>RI: L1=WR; R1=UP HB</t>
  </si>
  <si>
    <t>BA S-78</t>
  </si>
  <si>
    <t>F15/17</t>
  </si>
  <si>
    <t>BA S-68</t>
  </si>
  <si>
    <t>F15/3</t>
  </si>
  <si>
    <t>BA S-18</t>
  </si>
  <si>
    <t>BA PF-7</t>
  </si>
  <si>
    <t>BA S-42</t>
  </si>
  <si>
    <t>MM S-98</t>
  </si>
  <si>
    <t>13/15</t>
  </si>
  <si>
    <t>MM S-88</t>
  </si>
  <si>
    <t>RI: L1=EMU SDG</t>
  </si>
  <si>
    <t>MM S-50</t>
  </si>
  <si>
    <t>M-1106</t>
  </si>
  <si>
    <t>11/M217</t>
  </si>
  <si>
    <t>RVJ S-28</t>
  </si>
  <si>
    <t>KCE PF-2</t>
  </si>
  <si>
    <t>RVJ S-18</t>
  </si>
  <si>
    <t>10/M210</t>
  </si>
  <si>
    <t>RVJ S-12</t>
  </si>
  <si>
    <t>09/M239</t>
  </si>
  <si>
    <t>RI: L1=RVJ S-4</t>
  </si>
  <si>
    <t>RVJ S-3</t>
  </si>
  <si>
    <t>19/13</t>
  </si>
  <si>
    <t>18/16</t>
  </si>
  <si>
    <t>9/36</t>
  </si>
  <si>
    <t>SL</t>
  </si>
  <si>
    <t>sl</t>
  </si>
  <si>
    <t>sig</t>
  </si>
  <si>
    <t xml:space="preserve">KYN S-48 </t>
  </si>
  <si>
    <t>K-036 A</t>
  </si>
  <si>
    <t>K-024 A</t>
  </si>
  <si>
    <t>K-024 B</t>
  </si>
  <si>
    <t>K-016 A</t>
  </si>
  <si>
    <t>CSMT PF-6 EMU BOARD</t>
  </si>
  <si>
    <t>KJT S-14</t>
  </si>
  <si>
    <t>KJT-KHPI</t>
  </si>
  <si>
    <t>99/5</t>
  </si>
  <si>
    <t>RI: L1=S-38; L2=S-36/37; L3=S-16; R1=S-28; R2=S-21</t>
  </si>
  <si>
    <t>KJT S-23</t>
  </si>
  <si>
    <t>KJT 1083</t>
  </si>
  <si>
    <t>RI: L1= S-54; L2= S-47; L3= S-46</t>
  </si>
  <si>
    <t>Book shows three left arm on top of vertical stem</t>
  </si>
  <si>
    <t>KJT/1083</t>
  </si>
  <si>
    <t>RI: L1= S-46/47/54; L2= S-28</t>
  </si>
  <si>
    <t>RI: L1=S-39; L2=S-38; R1=S-46/47/54; R2=S-55</t>
  </si>
  <si>
    <t>KJT S-32</t>
  </si>
  <si>
    <t>100-15</t>
  </si>
  <si>
    <t>KJT S-36</t>
  </si>
  <si>
    <t>RI: R1= S-62; R2=S-63; R3= S-64</t>
  </si>
  <si>
    <t>KJT S-37</t>
  </si>
  <si>
    <t>100/30</t>
  </si>
  <si>
    <t>KJT S-63</t>
  </si>
  <si>
    <t>101/355</t>
  </si>
  <si>
    <t>KJT S-46</t>
  </si>
  <si>
    <t>KJT S-47</t>
  </si>
  <si>
    <t>KJT S-54</t>
  </si>
  <si>
    <t>KJT S-55</t>
  </si>
  <si>
    <t>101/315</t>
  </si>
  <si>
    <t>RI: L1= S-63; L2= S-62; L3= S-61</t>
  </si>
  <si>
    <t>KJT S-64</t>
  </si>
  <si>
    <t>PDI S-3</t>
  </si>
  <si>
    <t>102/9A</t>
  </si>
  <si>
    <t>RI: R1=S-16</t>
  </si>
  <si>
    <t>PDI S-4</t>
  </si>
  <si>
    <t>102/301</t>
  </si>
  <si>
    <t>PDI S-16</t>
  </si>
  <si>
    <t>GATE-5 DIST</t>
  </si>
  <si>
    <t>106/19</t>
  </si>
  <si>
    <t>GATE-5 S-3</t>
  </si>
  <si>
    <t>108/02</t>
  </si>
  <si>
    <t>GATE-7 DIST</t>
  </si>
  <si>
    <t>111/05</t>
  </si>
  <si>
    <t>GATE-7</t>
  </si>
  <si>
    <t>112/10</t>
  </si>
  <si>
    <t>KHPI S-2</t>
  </si>
  <si>
    <t>KHPI</t>
  </si>
  <si>
    <t>Khopoli</t>
  </si>
  <si>
    <t>112/99</t>
  </si>
  <si>
    <t>KHPI S-17</t>
  </si>
  <si>
    <t>113/46</t>
  </si>
  <si>
    <t>KHPI S-16</t>
  </si>
  <si>
    <t>300</t>
  </si>
  <si>
    <t>KHPI S-18</t>
  </si>
  <si>
    <t>113/17</t>
  </si>
  <si>
    <t>500</t>
  </si>
  <si>
    <t>112/15</t>
  </si>
  <si>
    <t/>
  </si>
  <si>
    <t>109/15</t>
  </si>
  <si>
    <t>GATE-5</t>
  </si>
  <si>
    <t>109/05</t>
  </si>
  <si>
    <t>400</t>
  </si>
  <si>
    <t>PDI DIST</t>
  </si>
  <si>
    <t>270</t>
  </si>
  <si>
    <t>PDI S-19</t>
  </si>
  <si>
    <t>103/01</t>
  </si>
  <si>
    <t>250</t>
  </si>
  <si>
    <t>PDI S-5</t>
  </si>
  <si>
    <t>102/13A</t>
  </si>
  <si>
    <t>RI: R1=S-72</t>
  </si>
  <si>
    <t>KJT S-71</t>
  </si>
  <si>
    <t>102B/303A</t>
  </si>
  <si>
    <t>RI: R1=S-87; R2=S-81; R3=S-102</t>
  </si>
  <si>
    <t>102/303</t>
  </si>
  <si>
    <t>RI: L1=S-102; L2=S-82; R1=S-87</t>
  </si>
  <si>
    <t>101/317</t>
  </si>
  <si>
    <t>KJT S-82</t>
  </si>
  <si>
    <t>101/301</t>
  </si>
  <si>
    <t>101/243</t>
  </si>
  <si>
    <t>KJT S-95</t>
  </si>
  <si>
    <t>KJT/1141</t>
  </si>
  <si>
    <t>RI: L1=S-131; R1=S-112</t>
  </si>
  <si>
    <t>260</t>
  </si>
  <si>
    <t>KJT S-102</t>
  </si>
  <si>
    <t>KJT/1123</t>
  </si>
  <si>
    <t>RI: L1=S-132; L2=S-131; R1=S-112</t>
  </si>
  <si>
    <t>KJT S-103</t>
  </si>
  <si>
    <t>100/17</t>
  </si>
  <si>
    <t>KJT S-104</t>
  </si>
  <si>
    <t>100/19</t>
  </si>
  <si>
    <t>KJT S-105</t>
  </si>
  <si>
    <t>KJT S-106</t>
  </si>
  <si>
    <t>RI: L1=S-112; R1=S-137</t>
  </si>
  <si>
    <t>KJT S-112</t>
  </si>
  <si>
    <t>100/7</t>
  </si>
  <si>
    <t>RI: L1=PF-3; R1=S-135; R2=S-137</t>
  </si>
  <si>
    <t>RI: R1=S-142</t>
  </si>
  <si>
    <t>KJT /1033</t>
  </si>
  <si>
    <t>RI: L1=S-141</t>
  </si>
  <si>
    <t>99/19</t>
  </si>
  <si>
    <t>98/25</t>
  </si>
  <si>
    <t xml:space="preserve">Due to 3.0 curve &amp; limited transition length </t>
  </si>
  <si>
    <t>104/030</t>
  </si>
  <si>
    <t>105/281</t>
  </si>
  <si>
    <t>Semi Ghat Section &amp; T/out on 2 degree curve</t>
  </si>
  <si>
    <t>SB ON PF 1,2</t>
  </si>
  <si>
    <t>STD-I (R)</t>
  </si>
  <si>
    <t>Karjat (KJT) 99.70 KM</t>
  </si>
  <si>
    <t>Palasdari (PDI) 102.92 KM</t>
  </si>
  <si>
    <t>Kelavli (KLY) 107.86 KM</t>
  </si>
  <si>
    <t>Dolavli (DLV) 108.43 KM</t>
  </si>
  <si>
    <t>Lawjee (LWJ) 111.58 KM</t>
  </si>
  <si>
    <t>Khopoli (KHPI) 114..24 KM</t>
  </si>
  <si>
    <t>Due to 3.0 curve &amp; limited transition length</t>
  </si>
  <si>
    <t>Inadequate cant on contra flexture T/out on 2.3 degree curves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</si>
</sst>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"/>
    <numFmt numFmtId="166" formatCode="d-mmm"/>
    <numFmt numFmtId="167" formatCode="dd/mm"/>
  </numFmts>
  <fonts count="21">
    <font>
      <sz val="10.0"/>
      <color rgb="FF000000"/>
      <name val="Arial"/>
      <scheme val="minor"/>
    </font>
    <font>
      <b/>
      <sz val="11.0"/>
      <color rgb="FFFF9900"/>
      <name val="Arial"/>
    </font>
    <font>
      <color theme="1"/>
      <name val="Arial"/>
    </font>
    <font>
      <b/>
      <sz val="11.0"/>
      <color rgb="FFFF00FF"/>
      <name val="Arial"/>
    </font>
    <font>
      <b/>
      <sz val="11.0"/>
      <color theme="1"/>
      <name val="Arial"/>
    </font>
    <font>
      <b/>
      <sz val="11.0"/>
      <color rgb="FF3C78D8"/>
      <name val="Arial"/>
    </font>
    <font>
      <b/>
      <color theme="1"/>
      <name val="Arial"/>
    </font>
    <font>
      <b/>
      <sz val="11.0"/>
      <color rgb="FF0000FF"/>
      <name val="Arial"/>
    </font>
    <font>
      <color rgb="FFFF0000"/>
      <name val="Arial"/>
    </font>
    <font>
      <color theme="1"/>
      <name val="Arial"/>
      <scheme val="minor"/>
    </font>
    <font>
      <sz val="11.0"/>
      <color rgb="FF1F1F1F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rgb="FF7030A0"/>
      <name val="Arial"/>
    </font>
    <font>
      <color rgb="FF000000"/>
      <name val="Arial"/>
      <scheme val="minor"/>
    </font>
    <font>
      <sz val="11.0"/>
      <color theme="1"/>
      <name val="Arial"/>
    </font>
    <font>
      <color rgb="FF000000"/>
      <name val="Helvetica"/>
    </font>
    <font>
      <sz val="9.0"/>
      <color rgb="FF000000"/>
      <name val="Helvetica"/>
    </font>
    <font>
      <b/>
      <color theme="1"/>
      <name val="Arial"/>
      <scheme val="minor"/>
    </font>
    <font>
      <color theme="1"/>
      <name val="Calibri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B6C1"/>
        <bgColor rgb="FFFFB6C1"/>
      </patternFill>
    </fill>
    <fill>
      <patternFill patternType="solid">
        <fgColor rgb="FFFFC0CB"/>
        <bgColor rgb="FFFFC0CB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8E7FC"/>
        <bgColor rgb="FFE8E7FC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0" fillId="3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4" fillId="6" fontId="2" numFmtId="0" xfId="0" applyAlignment="1" applyBorder="1" applyFill="1" applyFont="1">
      <alignment horizontal="center" vertical="bottom"/>
    </xf>
    <xf borderId="4" fillId="6" fontId="2" numFmtId="0" xfId="0" applyAlignment="1" applyBorder="1" applyFont="1">
      <alignment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horizontal="center" vertical="bottom"/>
    </xf>
    <xf borderId="0" fillId="6" fontId="2" numFmtId="0" xfId="0" applyAlignment="1" applyFont="1">
      <alignment horizontal="right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4" fillId="7" fontId="2" numFmtId="0" xfId="0" applyAlignment="1" applyBorder="1" applyFill="1" applyFont="1">
      <alignment horizontal="center" vertical="bottom"/>
    </xf>
    <xf borderId="4" fillId="7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0" fillId="7" fontId="2" numFmtId="0" xfId="0" applyAlignment="1" applyFont="1">
      <alignment horizontal="center" vertical="bottom"/>
    </xf>
    <xf borderId="0" fillId="7" fontId="2" numFmtId="0" xfId="0" applyAlignment="1" applyFont="1">
      <alignment horizontal="right" vertical="bottom"/>
    </xf>
    <xf borderId="4" fillId="8" fontId="8" numFmtId="0" xfId="0" applyAlignment="1" applyBorder="1" applyFill="1" applyFont="1">
      <alignment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horizontal="left" readingOrder="0"/>
    </xf>
    <xf borderId="0" fillId="0" fontId="9" numFmtId="165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4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4" fillId="0" fontId="10" numFmtId="0" xfId="0" applyAlignment="1" applyBorder="1" applyFont="1">
      <alignment horizontal="center" vertical="bottom"/>
    </xf>
    <xf borderId="4" fillId="8" fontId="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4" numFmtId="0" xfId="0" applyAlignment="1" applyFont="1">
      <alignment readingOrder="0"/>
    </xf>
    <xf borderId="0" fillId="0" fontId="9" numFmtId="0" xfId="0" applyFont="1"/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4" fillId="0" fontId="10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0" fillId="0" fontId="13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9" numFmtId="0" xfId="0" applyAlignment="1" applyFont="1">
      <alignment horizontal="left"/>
    </xf>
    <xf borderId="0" fillId="0" fontId="16" numFmtId="0" xfId="0" applyAlignment="1" applyFont="1">
      <alignment readingOrder="0"/>
    </xf>
    <xf borderId="4" fillId="0" fontId="1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0" fillId="0" fontId="17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0" numFmtId="0" xfId="0" applyAlignment="1" applyFont="1">
      <alignment readingOrder="0" vertical="top"/>
    </xf>
    <xf borderId="0" fillId="0" fontId="14" numFmtId="0" xfId="0" applyAlignment="1" applyFont="1">
      <alignment vertical="top"/>
    </xf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12" numFmtId="0" xfId="0" applyAlignment="1" applyFont="1">
      <alignment horizontal="right" vertical="bottom"/>
    </xf>
    <xf borderId="0" fillId="0" fontId="14" numFmtId="0" xfId="0" applyFont="1"/>
    <xf borderId="4" fillId="0" fontId="10" numFmtId="0" xfId="0" applyAlignment="1" applyBorder="1" applyFont="1">
      <alignment readingOrder="0" vertical="bottom"/>
    </xf>
    <xf borderId="4" fillId="0" fontId="10" numFmtId="165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/>
    </xf>
    <xf borderId="4" fillId="0" fontId="9" numFmtId="0" xfId="0" applyBorder="1" applyFont="1"/>
    <xf borderId="0" fillId="0" fontId="9" numFmtId="0" xfId="0" applyAlignment="1" applyFont="1">
      <alignment horizontal="right"/>
    </xf>
    <xf borderId="0" fillId="0" fontId="9" numFmtId="165" xfId="0" applyAlignment="1" applyFont="1" applyNumberFormat="1">
      <alignment horizontal="left" readingOrder="0"/>
    </xf>
    <xf borderId="0" fillId="0" fontId="9" numFmtId="166" xfId="0" applyAlignment="1" applyFont="1" applyNumberFormat="1">
      <alignment horizontal="left" readingOrder="0"/>
    </xf>
    <xf borderId="0" fillId="0" fontId="9" numFmtId="167" xfId="0" applyAlignment="1" applyFont="1" applyNumberFormat="1">
      <alignment horizontal="left" readingOrder="0"/>
    </xf>
    <xf borderId="4" fillId="8" fontId="2" numFmtId="0" xfId="0" applyAlignment="1" applyBorder="1" applyFont="1">
      <alignment horizontal="center" vertical="bottom"/>
    </xf>
    <xf borderId="0" fillId="8" fontId="19" numFmtId="0" xfId="0" applyAlignment="1" applyFont="1">
      <alignment horizontal="right" readingOrder="0" vertical="bottom"/>
    </xf>
    <xf borderId="0" fillId="8" fontId="19" numFmtId="0" xfId="0" applyAlignment="1" applyFont="1">
      <alignment horizontal="right" vertical="bottom"/>
    </xf>
    <xf borderId="4" fillId="9" fontId="2" numFmtId="0" xfId="0" applyAlignment="1" applyBorder="1" applyFill="1" applyFont="1">
      <alignment horizontal="center" vertical="bottom"/>
    </xf>
    <xf borderId="0" fillId="8" fontId="19" numFmtId="0" xfId="0" applyAlignment="1" applyFont="1">
      <alignment horizontal="right" vertical="bottom"/>
    </xf>
    <xf borderId="0" fillId="10" fontId="2" numFmtId="0" xfId="0" applyAlignment="1" applyFill="1" applyFont="1">
      <alignment horizontal="right" vertical="bottom"/>
    </xf>
    <xf borderId="4" fillId="0" fontId="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readingOrder="0" vertical="bottom"/>
    </xf>
    <xf borderId="5" fillId="10" fontId="2" numFmtId="0" xfId="0" applyAlignment="1" applyBorder="1" applyFont="1">
      <alignment horizontal="right" vertical="bottom"/>
    </xf>
    <xf borderId="0" fillId="8" fontId="2" numFmtId="0" xfId="0" applyAlignment="1" applyFont="1">
      <alignment horizontal="right" vertical="bottom"/>
    </xf>
    <xf borderId="4" fillId="0" fontId="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5" fillId="8" fontId="2" numFmtId="0" xfId="0" applyAlignment="1" applyBorder="1" applyFont="1">
      <alignment horizontal="right" vertical="bottom"/>
    </xf>
    <xf borderId="0" fillId="9" fontId="2" numFmtId="0" xfId="0" applyAlignment="1" applyFont="1">
      <alignment horizontal="center" vertical="bottom"/>
    </xf>
    <xf borderId="0" fillId="11" fontId="2" numFmtId="0" xfId="0" applyAlignment="1" applyFill="1" applyFon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20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Sheet7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2:J16" displayName="Table_1" name="Table_1" id="1">
  <tableColumns count="2">
    <tableColumn name="Column1" id="1"/>
    <tableColumn name="Column2" id="2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Relationship Id="rId3" Type="http://schemas.openxmlformats.org/officeDocument/2006/relationships/table" Target="../tables/table1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0"/>
  </cols>
  <sheetData>
    <row r="1">
      <c r="A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E2" s="3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0</v>
      </c>
      <c r="B3" s="7" t="s">
        <v>1</v>
      </c>
      <c r="C3" s="8" t="s">
        <v>2</v>
      </c>
      <c r="D3" s="9" t="s">
        <v>3</v>
      </c>
      <c r="E3" s="10" t="s">
        <v>4</v>
      </c>
      <c r="F3" s="11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5</v>
      </c>
      <c r="B4" s="14" t="s">
        <v>6</v>
      </c>
      <c r="C4" s="15" t="s">
        <v>6</v>
      </c>
      <c r="D4" s="16" t="s">
        <v>6</v>
      </c>
      <c r="E4" s="14"/>
      <c r="F4" s="15"/>
      <c r="G4" s="1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7</v>
      </c>
      <c r="B5" s="14" t="s">
        <v>6</v>
      </c>
      <c r="C5" s="15" t="s">
        <v>6</v>
      </c>
      <c r="D5" s="16" t="s">
        <v>6</v>
      </c>
      <c r="E5" s="14"/>
      <c r="F5" s="2"/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8</v>
      </c>
      <c r="B6" s="14" t="s">
        <v>6</v>
      </c>
      <c r="C6" s="15" t="s">
        <v>6</v>
      </c>
      <c r="D6" s="16" t="s">
        <v>6</v>
      </c>
      <c r="E6" s="14"/>
      <c r="F6" s="2"/>
      <c r="G6" s="1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9</v>
      </c>
      <c r="B7" s="14" t="s">
        <v>6</v>
      </c>
      <c r="C7" s="15" t="s">
        <v>6</v>
      </c>
      <c r="D7" s="16" t="s">
        <v>6</v>
      </c>
      <c r="E7" s="14"/>
      <c r="F7" s="2"/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10</v>
      </c>
      <c r="B8" s="14"/>
      <c r="C8" s="15"/>
      <c r="D8" s="16"/>
      <c r="E8" s="14"/>
      <c r="F8" s="2"/>
      <c r="G8" s="1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11</v>
      </c>
      <c r="B9" s="14"/>
      <c r="C9" s="15"/>
      <c r="D9" s="16"/>
      <c r="E9" s="14"/>
      <c r="F9" s="2"/>
      <c r="G9" s="1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12</v>
      </c>
      <c r="B10" s="14"/>
      <c r="C10" s="15"/>
      <c r="D10" s="16"/>
      <c r="E10" s="14"/>
      <c r="F10" s="2"/>
      <c r="G10" s="1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13</v>
      </c>
      <c r="B11" s="14"/>
      <c r="C11" s="15"/>
      <c r="D11" s="16"/>
      <c r="E11" s="14"/>
      <c r="F11" s="2"/>
      <c r="G11" s="1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14</v>
      </c>
      <c r="B12" s="14"/>
      <c r="C12" s="15"/>
      <c r="D12" s="16"/>
      <c r="E12" s="14"/>
      <c r="F12" s="2"/>
      <c r="G12" s="1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15</v>
      </c>
      <c r="B13" s="14"/>
      <c r="C13" s="15"/>
      <c r="D13" s="16"/>
      <c r="E13" s="14"/>
      <c r="F13" s="2"/>
      <c r="G13" s="1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16</v>
      </c>
      <c r="B14" s="14"/>
      <c r="C14" s="15"/>
      <c r="D14" s="16"/>
      <c r="E14" s="14"/>
      <c r="F14" s="2"/>
      <c r="G14" s="1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17</v>
      </c>
      <c r="B15" s="14"/>
      <c r="C15" s="15"/>
      <c r="D15" s="16"/>
      <c r="E15" s="14"/>
      <c r="F15" s="2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18</v>
      </c>
      <c r="B16" s="14"/>
      <c r="C16" s="15"/>
      <c r="D16" s="16"/>
      <c r="E16" s="14"/>
      <c r="F16" s="2"/>
      <c r="G16" s="1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19</v>
      </c>
      <c r="B17" s="14"/>
      <c r="C17" s="15"/>
      <c r="D17" s="16"/>
      <c r="E17" s="14"/>
      <c r="F17" s="2"/>
      <c r="G17" s="1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20</v>
      </c>
      <c r="B18" s="14"/>
      <c r="C18" s="15"/>
      <c r="D18" s="16"/>
      <c r="E18" s="14"/>
      <c r="F18" s="2"/>
      <c r="G18" s="1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21</v>
      </c>
      <c r="B19" s="14"/>
      <c r="C19" s="15"/>
      <c r="D19" s="16"/>
      <c r="E19" s="14"/>
      <c r="F19" s="2"/>
      <c r="G19" s="1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22</v>
      </c>
      <c r="B20" s="14"/>
      <c r="C20" s="15"/>
      <c r="D20" s="16"/>
      <c r="E20" s="14"/>
      <c r="F20" s="2"/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23</v>
      </c>
      <c r="B21" s="14"/>
      <c r="C21" s="15"/>
      <c r="D21" s="16"/>
      <c r="E21" s="14"/>
      <c r="F21" s="2"/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 t="s">
        <v>24</v>
      </c>
      <c r="B22" s="14"/>
      <c r="C22" s="15"/>
      <c r="D22" s="16"/>
      <c r="E22" s="14"/>
      <c r="F22" s="2"/>
      <c r="G22" s="1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25</v>
      </c>
      <c r="B23" s="14"/>
      <c r="C23" s="15"/>
      <c r="D23" s="16"/>
      <c r="E23" s="14"/>
      <c r="F23" s="2"/>
      <c r="G23" s="1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 t="s">
        <v>26</v>
      </c>
      <c r="B24" s="14"/>
      <c r="C24" s="15"/>
      <c r="D24" s="16"/>
      <c r="E24" s="14"/>
      <c r="F24" s="2"/>
      <c r="G24" s="1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27</v>
      </c>
      <c r="B25" s="14"/>
      <c r="C25" s="15"/>
      <c r="D25" s="16"/>
      <c r="E25" s="14"/>
      <c r="F25" s="15"/>
      <c r="G25" s="1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28</v>
      </c>
      <c r="B26" s="14"/>
      <c r="C26" s="15"/>
      <c r="D26" s="16"/>
      <c r="E26" s="14"/>
      <c r="F26" s="15"/>
      <c r="G26" s="1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 t="s">
        <v>29</v>
      </c>
      <c r="B27" s="14"/>
      <c r="C27" s="15"/>
      <c r="D27" s="16"/>
      <c r="E27" s="14"/>
      <c r="F27" s="15"/>
      <c r="G27" s="1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/>
      <c r="B28" s="14"/>
      <c r="C28" s="15"/>
      <c r="D28" s="16"/>
      <c r="E28" s="14"/>
      <c r="F28" s="2"/>
      <c r="G28" s="1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/>
      <c r="B29" s="14"/>
      <c r="C29" s="15"/>
      <c r="D29" s="16"/>
      <c r="E29" s="14"/>
      <c r="F29" s="15"/>
      <c r="G29" s="1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/>
      <c r="B30" s="14"/>
      <c r="C30" s="15"/>
      <c r="D30" s="16"/>
      <c r="E30" s="14"/>
      <c r="F30" s="15"/>
      <c r="G30" s="1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/>
      <c r="B31" s="14"/>
      <c r="C31" s="15"/>
      <c r="D31" s="16"/>
      <c r="E31" s="14"/>
      <c r="F31" s="2"/>
      <c r="G31" s="1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7"/>
      <c r="B32" s="14"/>
      <c r="C32" s="15"/>
      <c r="D32" s="16"/>
      <c r="E32" s="14"/>
      <c r="F32" s="2"/>
      <c r="G32" s="1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/>
      <c r="B33" s="14"/>
      <c r="C33" s="15"/>
      <c r="D33" s="16"/>
      <c r="E33" s="14"/>
      <c r="F33" s="15"/>
      <c r="G33" s="1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/>
      <c r="B34" s="14"/>
      <c r="C34" s="15"/>
      <c r="D34" s="16"/>
      <c r="E34" s="14"/>
      <c r="F34" s="15"/>
      <c r="G34" s="1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/>
      <c r="B35" s="14"/>
      <c r="C35" s="15"/>
      <c r="D35" s="16"/>
      <c r="E35" s="14"/>
      <c r="F35" s="15"/>
      <c r="G35" s="1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/>
      <c r="B36" s="14"/>
      <c r="C36" s="15"/>
      <c r="D36" s="16"/>
      <c r="E36" s="14"/>
      <c r="F36" s="15"/>
      <c r="G36" s="1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7"/>
      <c r="B37" s="14"/>
      <c r="C37" s="15"/>
      <c r="D37" s="16"/>
      <c r="E37" s="14"/>
      <c r="F37" s="15"/>
      <c r="G37" s="1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"/>
      <c r="B38" s="14"/>
      <c r="C38" s="15"/>
      <c r="D38" s="16"/>
      <c r="E38" s="14"/>
      <c r="F38" s="15"/>
      <c r="G38" s="1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7"/>
      <c r="B39" s="14"/>
      <c r="C39" s="15"/>
      <c r="D39" s="16"/>
      <c r="E39" s="14"/>
      <c r="F39" s="15"/>
      <c r="G39" s="1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7"/>
      <c r="B40" s="14"/>
      <c r="C40" s="15"/>
      <c r="D40" s="16"/>
      <c r="E40" s="14"/>
      <c r="F40" s="15"/>
      <c r="G40" s="1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"/>
      <c r="B41" s="14"/>
      <c r="C41" s="15"/>
      <c r="D41" s="16"/>
      <c r="E41" s="14"/>
      <c r="F41" s="15"/>
      <c r="G41" s="1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7"/>
      <c r="B42" s="14"/>
      <c r="C42" s="15"/>
      <c r="D42" s="16"/>
      <c r="E42" s="14"/>
      <c r="F42" s="15"/>
      <c r="G42" s="1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7"/>
      <c r="B43" s="14"/>
      <c r="C43" s="15"/>
      <c r="D43" s="16"/>
      <c r="E43" s="14"/>
      <c r="F43" s="15"/>
      <c r="G43" s="1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7"/>
      <c r="B44" s="14"/>
      <c r="C44" s="15"/>
      <c r="D44" s="16"/>
      <c r="E44" s="14"/>
      <c r="F44" s="15"/>
      <c r="G44" s="1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7"/>
      <c r="B45" s="14"/>
      <c r="C45" s="15"/>
      <c r="D45" s="16"/>
      <c r="E45" s="14"/>
      <c r="F45" s="15"/>
      <c r="G45" s="1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7"/>
      <c r="B46" s="14"/>
      <c r="C46" s="2"/>
      <c r="D46" s="16"/>
      <c r="E46" s="14"/>
      <c r="F46" s="15"/>
      <c r="G46" s="1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7"/>
      <c r="B47" s="14"/>
      <c r="C47" s="15"/>
      <c r="D47" s="16"/>
      <c r="E47" s="14"/>
      <c r="F47" s="15"/>
      <c r="G47" s="1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7"/>
      <c r="B48" s="14"/>
      <c r="C48" s="15"/>
      <c r="D48" s="16"/>
      <c r="E48" s="14"/>
      <c r="F48" s="15"/>
      <c r="G48" s="1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/>
      <c r="B49" s="14"/>
      <c r="C49" s="15"/>
      <c r="D49" s="16"/>
      <c r="E49" s="14"/>
      <c r="F49" s="15"/>
      <c r="G49" s="1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7"/>
      <c r="B50" s="14"/>
      <c r="C50" s="15"/>
      <c r="D50" s="16"/>
      <c r="E50" s="14"/>
      <c r="F50" s="15"/>
      <c r="G50" s="1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7"/>
      <c r="B51" s="14"/>
      <c r="C51" s="15"/>
      <c r="D51" s="16"/>
      <c r="E51" s="14"/>
      <c r="F51" s="2"/>
      <c r="G51" s="1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7"/>
      <c r="B52" s="14"/>
      <c r="C52" s="15"/>
      <c r="D52" s="16"/>
      <c r="E52" s="14"/>
      <c r="F52" s="15"/>
      <c r="G52" s="1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7"/>
      <c r="B53" s="14"/>
      <c r="C53" s="15"/>
      <c r="D53" s="16"/>
      <c r="E53" s="14"/>
      <c r="F53" s="15"/>
      <c r="G53" s="1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7"/>
      <c r="B54" s="14"/>
      <c r="C54" s="15"/>
      <c r="D54" s="16"/>
      <c r="E54" s="14"/>
      <c r="F54" s="15"/>
      <c r="G54" s="1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7"/>
      <c r="B55" s="14"/>
      <c r="C55" s="15"/>
      <c r="D55" s="16"/>
      <c r="E55" s="14"/>
      <c r="F55" s="15"/>
      <c r="G55" s="1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7"/>
      <c r="B56" s="14"/>
      <c r="C56" s="15"/>
      <c r="D56" s="16"/>
      <c r="E56" s="1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7"/>
      <c r="B57" s="14"/>
      <c r="C57" s="15"/>
      <c r="D57" s="1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"/>
      <c r="B58" s="14"/>
      <c r="C58" s="15"/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7"/>
      <c r="B59" s="14"/>
      <c r="C59" s="15"/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7"/>
      <c r="B60" s="14"/>
      <c r="C60" s="15"/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7"/>
      <c r="B61" s="14"/>
      <c r="C61" s="1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7"/>
      <c r="B62" s="14"/>
      <c r="C62" s="15"/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7"/>
      <c r="B63" s="14"/>
      <c r="C63" s="15"/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7"/>
      <c r="B64" s="14"/>
      <c r="C64" s="15"/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7"/>
      <c r="B65" s="14"/>
      <c r="C65" s="15"/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7"/>
      <c r="B66" s="14"/>
      <c r="C66" s="15"/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7"/>
      <c r="B67" s="14"/>
      <c r="C67" s="15"/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7"/>
      <c r="B68" s="14"/>
      <c r="C68" s="15"/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7"/>
      <c r="B69" s="14"/>
      <c r="C69" s="15"/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7"/>
      <c r="B70" s="14"/>
      <c r="C70" s="15"/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7"/>
      <c r="B71" s="14"/>
      <c r="C71" s="15"/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7"/>
      <c r="B72" s="14"/>
      <c r="C72" s="15"/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7"/>
      <c r="B73" s="14"/>
      <c r="C73" s="1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7"/>
      <c r="B74" s="14"/>
      <c r="C74" s="15"/>
      <c r="D74" s="1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7"/>
      <c r="B75" s="14"/>
      <c r="C75" s="15"/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7"/>
      <c r="B76" s="14"/>
      <c r="C76" s="15"/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7"/>
      <c r="B77" s="14"/>
      <c r="C77" s="15"/>
      <c r="D77" s="1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7"/>
      <c r="B78" s="14"/>
      <c r="C78" s="15"/>
      <c r="D78" s="1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7"/>
      <c r="B79" s="14"/>
      <c r="C79" s="15"/>
      <c r="D79" s="1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7"/>
      <c r="B80" s="14"/>
      <c r="C80" s="15"/>
      <c r="D80" s="1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7"/>
      <c r="B81" s="14"/>
      <c r="C81" s="15"/>
      <c r="D81" s="1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7"/>
      <c r="B82" s="14"/>
      <c r="C82" s="15"/>
      <c r="D82" s="1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7"/>
      <c r="B83" s="14"/>
      <c r="C83" s="15"/>
      <c r="D83" s="1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7"/>
      <c r="B84" s="14"/>
      <c r="C84" s="15"/>
      <c r="D84" s="1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7"/>
      <c r="B85" s="14"/>
      <c r="C85" s="15"/>
      <c r="D85" s="1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7"/>
      <c r="B86" s="14"/>
      <c r="C86" s="15"/>
      <c r="D86" s="1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7"/>
      <c r="B87" s="14"/>
      <c r="C87" s="15"/>
      <c r="D87" s="1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7"/>
      <c r="B88" s="14"/>
      <c r="C88" s="15"/>
      <c r="D88" s="1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7"/>
      <c r="B89" s="14"/>
      <c r="C89" s="15"/>
      <c r="D89" s="1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7"/>
      <c r="B90" s="14"/>
      <c r="C90" s="15"/>
      <c r="D90" s="1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7"/>
      <c r="B91" s="14"/>
      <c r="C91" s="15"/>
      <c r="D91" s="1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7"/>
      <c r="B92" s="14"/>
      <c r="C92" s="15"/>
      <c r="D92" s="1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7"/>
      <c r="B93" s="14"/>
      <c r="C93" s="15"/>
      <c r="D93" s="1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7"/>
      <c r="B94" s="14"/>
      <c r="C94" s="15"/>
      <c r="D94" s="1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7"/>
      <c r="B95" s="14"/>
      <c r="C95" s="15"/>
      <c r="D95" s="1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7"/>
      <c r="B96" s="14"/>
      <c r="C96" s="15"/>
      <c r="D96" s="1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7"/>
      <c r="B97" s="14"/>
      <c r="C97" s="15"/>
      <c r="D97" s="1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7"/>
      <c r="B98" s="14"/>
      <c r="C98" s="15"/>
      <c r="D98" s="1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7"/>
      <c r="B99" s="14"/>
      <c r="C99" s="15"/>
      <c r="D99" s="1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7"/>
      <c r="B100" s="14"/>
      <c r="C100" s="15"/>
      <c r="D100" s="1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7"/>
      <c r="B101" s="14"/>
      <c r="C101" s="15"/>
      <c r="D101" s="1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7"/>
      <c r="B102" s="14"/>
      <c r="C102" s="15"/>
      <c r="D102" s="1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7"/>
      <c r="B103" s="14"/>
      <c r="C103" s="15"/>
      <c r="D103" s="1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7"/>
      <c r="B104" s="14"/>
      <c r="C104" s="15"/>
      <c r="D104" s="1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7"/>
      <c r="B105" s="14"/>
      <c r="C105" s="15"/>
      <c r="D105" s="1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7"/>
      <c r="B106" s="14"/>
      <c r="C106" s="15"/>
      <c r="D106" s="1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7"/>
      <c r="B107" s="14"/>
      <c r="C107" s="1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7"/>
      <c r="B108" s="14"/>
      <c r="C108" s="15"/>
      <c r="D108" s="1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7"/>
      <c r="B109" s="14"/>
      <c r="C109" s="15"/>
      <c r="D109" s="1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7"/>
      <c r="B110" s="14"/>
      <c r="C110" s="15"/>
      <c r="D110" s="1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7"/>
      <c r="B111" s="14"/>
      <c r="C111" s="15"/>
      <c r="D111" s="1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7"/>
      <c r="B112" s="14"/>
      <c r="C112" s="15"/>
      <c r="D112" s="1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7"/>
      <c r="B113" s="14"/>
      <c r="C113" s="15"/>
      <c r="D113" s="1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7"/>
      <c r="B114" s="14"/>
      <c r="C114" s="15"/>
      <c r="D114" s="1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7"/>
      <c r="B115" s="14"/>
      <c r="C115" s="15"/>
      <c r="D115" s="1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7"/>
      <c r="B116" s="14"/>
      <c r="C116" s="15"/>
      <c r="D116" s="1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7"/>
      <c r="B117" s="14"/>
      <c r="C117" s="15"/>
      <c r="D117" s="1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7"/>
      <c r="B118" s="14"/>
      <c r="C118" s="15"/>
      <c r="D118" s="1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7"/>
      <c r="B119" s="14"/>
      <c r="C119" s="15"/>
      <c r="D119" s="1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7"/>
      <c r="B120" s="14"/>
      <c r="C120" s="15"/>
      <c r="D120" s="1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7"/>
      <c r="B121" s="14"/>
      <c r="C121" s="15"/>
      <c r="D121" s="1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7"/>
      <c r="B122" s="14"/>
      <c r="C122" s="15"/>
      <c r="D122" s="1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7"/>
      <c r="B123" s="14"/>
      <c r="C123" s="15"/>
      <c r="D123" s="1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7"/>
      <c r="B124" s="14"/>
      <c r="C124" s="15"/>
      <c r="D124" s="1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7"/>
      <c r="B125" s="14"/>
      <c r="C125" s="15"/>
      <c r="D125" s="1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7"/>
      <c r="B126" s="14"/>
      <c r="C126" s="15"/>
      <c r="D126" s="1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7"/>
      <c r="B127" s="14"/>
      <c r="C127" s="15"/>
      <c r="D127" s="1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7"/>
      <c r="B128" s="14"/>
      <c r="C128" s="15"/>
      <c r="D128" s="1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7"/>
      <c r="B129" s="14"/>
      <c r="C129" s="15"/>
      <c r="D129" s="1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7"/>
      <c r="B130" s="14"/>
      <c r="C130" s="15"/>
      <c r="D130" s="1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7"/>
      <c r="B131" s="14"/>
      <c r="C131" s="15"/>
      <c r="D131" s="1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7"/>
      <c r="B132" s="14"/>
      <c r="C132" s="15"/>
      <c r="D132" s="1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7"/>
      <c r="B133" s="14"/>
      <c r="C133" s="15"/>
      <c r="D133" s="1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7"/>
      <c r="B134" s="14"/>
      <c r="C134" s="15"/>
      <c r="D134" s="1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7"/>
      <c r="B135" s="14"/>
      <c r="C135" s="15"/>
      <c r="D135" s="1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7"/>
      <c r="B136" s="14"/>
      <c r="C136" s="15"/>
      <c r="D136" s="1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7"/>
      <c r="B137" s="14"/>
      <c r="C137" s="15"/>
      <c r="D137" s="1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7"/>
      <c r="B138" s="14"/>
      <c r="C138" s="15"/>
      <c r="D138" s="1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7"/>
      <c r="B139" s="14"/>
      <c r="C139" s="15"/>
      <c r="D139" s="1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7"/>
      <c r="B140" s="14"/>
      <c r="C140" s="15"/>
      <c r="D140" s="1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7"/>
      <c r="B141" s="14"/>
      <c r="C141" s="15"/>
      <c r="D141" s="1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7"/>
      <c r="B142" s="14"/>
      <c r="C142" s="15"/>
      <c r="D142" s="1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7"/>
      <c r="B143" s="14"/>
      <c r="C143" s="15"/>
      <c r="D143" s="1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7"/>
      <c r="B144" s="14"/>
      <c r="C144" s="15"/>
      <c r="D144" s="1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7"/>
      <c r="B145" s="14"/>
      <c r="C145" s="15"/>
      <c r="D145" s="1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7"/>
      <c r="B146" s="14"/>
      <c r="C146" s="15"/>
      <c r="D146" s="1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7"/>
      <c r="B147" s="14"/>
      <c r="C147" s="15"/>
      <c r="D147" s="1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7"/>
      <c r="B148" s="14"/>
      <c r="C148" s="15"/>
      <c r="D148" s="1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7"/>
      <c r="B149" s="14"/>
      <c r="C149" s="15"/>
      <c r="D149" s="1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7"/>
      <c r="B150" s="14"/>
      <c r="C150" s="15"/>
      <c r="D150" s="1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7"/>
      <c r="B151" s="14"/>
      <c r="C151" s="15"/>
      <c r="D151" s="1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7"/>
      <c r="B152" s="14"/>
      <c r="C152" s="15"/>
      <c r="D152" s="1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7"/>
      <c r="B153" s="14"/>
      <c r="C153" s="15"/>
      <c r="D153" s="1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7"/>
      <c r="B154" s="14"/>
      <c r="C154" s="15"/>
      <c r="D154" s="1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7"/>
      <c r="B155" s="14"/>
      <c r="C155" s="15"/>
      <c r="D155" s="1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7"/>
      <c r="B156" s="14"/>
      <c r="C156" s="15"/>
      <c r="D156" s="1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7"/>
      <c r="B157" s="14"/>
      <c r="C157" s="15"/>
      <c r="D157" s="1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7"/>
      <c r="B158" s="14"/>
      <c r="C158" s="15"/>
      <c r="D158" s="1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7"/>
      <c r="B159" s="14"/>
      <c r="C159" s="15"/>
      <c r="D159" s="1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7"/>
      <c r="B160" s="14"/>
      <c r="C160" s="15"/>
      <c r="D160" s="1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7"/>
      <c r="B161" s="14"/>
      <c r="C161" s="15"/>
      <c r="D161" s="1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7"/>
      <c r="B162" s="14"/>
      <c r="C162" s="15"/>
      <c r="D162" s="1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7"/>
      <c r="B163" s="14"/>
      <c r="C163" s="15"/>
      <c r="D163" s="1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7"/>
      <c r="B164" s="14"/>
      <c r="C164" s="1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7"/>
      <c r="B165" s="14"/>
      <c r="C165" s="15"/>
      <c r="D165" s="1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7"/>
      <c r="B166" s="14"/>
      <c r="C166" s="1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7"/>
      <c r="B167" s="14"/>
      <c r="C167" s="1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7"/>
      <c r="B168" s="14"/>
      <c r="C168" s="15"/>
      <c r="D168" s="1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7"/>
      <c r="B169" s="14"/>
      <c r="C169" s="15"/>
      <c r="D169" s="1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19" t="s">
        <v>61</v>
      </c>
      <c r="B2" s="20" t="s">
        <v>62</v>
      </c>
      <c r="C2" s="20" t="s">
        <v>62</v>
      </c>
      <c r="D2" s="20" t="s">
        <v>63</v>
      </c>
      <c r="E2" s="2" t="s">
        <v>5</v>
      </c>
      <c r="F2" s="2" t="s">
        <v>64</v>
      </c>
      <c r="G2" s="21" t="s">
        <v>65</v>
      </c>
      <c r="H2" s="21" t="s">
        <v>65</v>
      </c>
      <c r="I2" s="22">
        <v>0.0</v>
      </c>
      <c r="J2" s="22">
        <v>18.942997903686</v>
      </c>
      <c r="K2" s="22">
        <v>72.8351086476736</v>
      </c>
      <c r="L2" s="2" t="s">
        <v>66</v>
      </c>
      <c r="M2" s="2"/>
      <c r="N2" s="2" t="s">
        <v>67</v>
      </c>
      <c r="O2" s="2" t="s">
        <v>68</v>
      </c>
      <c r="P2" s="2"/>
      <c r="Q2" s="22">
        <v>0.0</v>
      </c>
      <c r="R2" s="22">
        <v>0.0</v>
      </c>
      <c r="S2" s="22">
        <v>1.0</v>
      </c>
      <c r="T2" s="22">
        <v>0.0</v>
      </c>
      <c r="U2" s="22">
        <v>0.0</v>
      </c>
      <c r="V2" s="22">
        <v>0.0</v>
      </c>
      <c r="W2" s="22">
        <v>0.0</v>
      </c>
      <c r="X2" s="22">
        <v>1.0</v>
      </c>
      <c r="Y2" s="22">
        <v>1.0</v>
      </c>
      <c r="Z2" s="2" t="s">
        <v>69</v>
      </c>
      <c r="AA2" s="2" t="s">
        <v>70</v>
      </c>
      <c r="AB2" s="2"/>
      <c r="AC2" s="2"/>
      <c r="AD2" s="2"/>
      <c r="AE2" s="22">
        <v>1.0</v>
      </c>
    </row>
    <row r="3">
      <c r="A3" s="19" t="s">
        <v>71</v>
      </c>
      <c r="B3" s="20" t="s">
        <v>62</v>
      </c>
      <c r="C3" s="20" t="s">
        <v>62</v>
      </c>
      <c r="D3" s="20" t="s">
        <v>63</v>
      </c>
      <c r="E3" s="2" t="s">
        <v>5</v>
      </c>
      <c r="F3" s="2" t="s">
        <v>64</v>
      </c>
      <c r="G3" s="21" t="s">
        <v>72</v>
      </c>
      <c r="H3" s="21" t="s">
        <v>72</v>
      </c>
      <c r="I3" s="22">
        <v>0.0</v>
      </c>
      <c r="J3" s="22">
        <v>18.9430324771596</v>
      </c>
      <c r="K3" s="22">
        <v>72.8352085616705</v>
      </c>
      <c r="L3" s="2" t="s">
        <v>66</v>
      </c>
      <c r="M3" s="2"/>
      <c r="N3" s="2" t="s">
        <v>67</v>
      </c>
      <c r="O3" s="2" t="s">
        <v>68</v>
      </c>
      <c r="P3" s="2"/>
      <c r="Q3" s="22">
        <v>0.0</v>
      </c>
      <c r="R3" s="22">
        <v>0.0</v>
      </c>
      <c r="S3" s="22">
        <v>1.0</v>
      </c>
      <c r="T3" s="22">
        <v>0.0</v>
      </c>
      <c r="U3" s="22">
        <v>0.0</v>
      </c>
      <c r="V3" s="22">
        <v>0.0</v>
      </c>
      <c r="W3" s="22">
        <v>0.0</v>
      </c>
      <c r="X3" s="22">
        <v>2.0</v>
      </c>
      <c r="Y3" s="22">
        <v>1.0</v>
      </c>
      <c r="Z3" s="2" t="s">
        <v>73</v>
      </c>
      <c r="AA3" s="2" t="s">
        <v>74</v>
      </c>
      <c r="AB3" s="2"/>
      <c r="AC3" s="2"/>
      <c r="AD3" s="2"/>
      <c r="AE3" s="22">
        <v>1.0</v>
      </c>
    </row>
    <row r="4">
      <c r="A4" s="19" t="s">
        <v>75</v>
      </c>
      <c r="B4" s="20" t="s">
        <v>62</v>
      </c>
      <c r="C4" s="20" t="s">
        <v>62</v>
      </c>
      <c r="D4" s="20" t="s">
        <v>63</v>
      </c>
      <c r="E4" s="2" t="s">
        <v>5</v>
      </c>
      <c r="F4" s="2" t="s">
        <v>64</v>
      </c>
      <c r="G4" s="21" t="s">
        <v>76</v>
      </c>
      <c r="H4" s="21" t="s">
        <v>76</v>
      </c>
      <c r="I4" s="22">
        <v>0.0</v>
      </c>
      <c r="J4" s="22">
        <v>18.9430414709419</v>
      </c>
      <c r="K4" s="22">
        <v>72.8352998053711</v>
      </c>
      <c r="L4" s="2" t="s">
        <v>66</v>
      </c>
      <c r="M4" s="2"/>
      <c r="N4" s="2" t="s">
        <v>67</v>
      </c>
      <c r="O4" s="2" t="s">
        <v>68</v>
      </c>
      <c r="P4" s="2"/>
      <c r="Q4" s="22">
        <v>0.0</v>
      </c>
      <c r="R4" s="22">
        <v>0.0</v>
      </c>
      <c r="S4" s="22">
        <v>1.0</v>
      </c>
      <c r="T4" s="22">
        <v>0.0</v>
      </c>
      <c r="U4" s="22">
        <v>0.0</v>
      </c>
      <c r="V4" s="22">
        <v>0.0</v>
      </c>
      <c r="W4" s="22">
        <v>0.0</v>
      </c>
      <c r="X4" s="22">
        <v>2.0</v>
      </c>
      <c r="Y4" s="22">
        <v>0.0</v>
      </c>
      <c r="Z4" s="2" t="s">
        <v>77</v>
      </c>
      <c r="AA4" s="2" t="s">
        <v>78</v>
      </c>
      <c r="AB4" s="2"/>
      <c r="AC4" s="2"/>
      <c r="AD4" s="2"/>
      <c r="AE4" s="22">
        <v>1.0</v>
      </c>
    </row>
    <row r="5">
      <c r="A5" s="23" t="s">
        <v>79</v>
      </c>
      <c r="B5" s="24" t="s">
        <v>62</v>
      </c>
      <c r="C5" s="24" t="s">
        <v>62</v>
      </c>
      <c r="D5" s="24" t="s">
        <v>63</v>
      </c>
      <c r="E5" s="25" t="s">
        <v>5</v>
      </c>
      <c r="F5" s="25" t="s">
        <v>64</v>
      </c>
      <c r="G5" s="26" t="s">
        <v>80</v>
      </c>
      <c r="H5" s="26" t="s">
        <v>80</v>
      </c>
      <c r="I5" s="27">
        <v>0.0</v>
      </c>
      <c r="J5" s="27">
        <v>18.942960369254</v>
      </c>
      <c r="K5" s="27">
        <v>72.8354122045775</v>
      </c>
      <c r="L5" s="25" t="s">
        <v>66</v>
      </c>
      <c r="M5" s="25"/>
      <c r="N5" s="25" t="s">
        <v>81</v>
      </c>
      <c r="O5" s="25" t="s">
        <v>68</v>
      </c>
      <c r="P5" s="25"/>
      <c r="Q5" s="27">
        <v>1.0</v>
      </c>
      <c r="R5" s="27">
        <v>0.0</v>
      </c>
      <c r="S5" s="27">
        <v>0.0</v>
      </c>
      <c r="T5" s="27">
        <v>0.0</v>
      </c>
      <c r="U5" s="27">
        <v>0.0</v>
      </c>
      <c r="V5" s="27">
        <v>0.0</v>
      </c>
      <c r="W5" s="27">
        <v>0.0</v>
      </c>
      <c r="X5" s="27">
        <v>3.0</v>
      </c>
      <c r="Y5" s="27">
        <v>0.0</v>
      </c>
      <c r="Z5" s="25" t="s">
        <v>82</v>
      </c>
      <c r="AA5" s="25" t="s">
        <v>83</v>
      </c>
      <c r="AB5" s="25"/>
      <c r="AC5" s="25"/>
      <c r="AD5" s="25"/>
      <c r="AE5" s="27">
        <v>1.0</v>
      </c>
    </row>
    <row r="6">
      <c r="A6" s="19" t="s">
        <v>84</v>
      </c>
      <c r="B6" s="20" t="s">
        <v>62</v>
      </c>
      <c r="C6" s="20" t="s">
        <v>62</v>
      </c>
      <c r="D6" s="20" t="s">
        <v>63</v>
      </c>
      <c r="E6" s="2" t="s">
        <v>5</v>
      </c>
      <c r="F6" s="2" t="s">
        <v>64</v>
      </c>
      <c r="G6" s="21" t="s">
        <v>85</v>
      </c>
      <c r="H6" s="21" t="s">
        <v>85</v>
      </c>
      <c r="I6" s="22">
        <v>0.0</v>
      </c>
      <c r="J6" s="22">
        <v>18.9433203244771</v>
      </c>
      <c r="K6" s="22">
        <v>72.8354303514536</v>
      </c>
      <c r="L6" s="2" t="s">
        <v>66</v>
      </c>
      <c r="M6" s="2"/>
      <c r="N6" s="2" t="s">
        <v>67</v>
      </c>
      <c r="O6" s="2" t="s">
        <v>68</v>
      </c>
      <c r="P6" s="2"/>
      <c r="Q6" s="22">
        <v>0.0</v>
      </c>
      <c r="R6" s="22">
        <v>0.0</v>
      </c>
      <c r="S6" s="22">
        <v>1.0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"/>
      <c r="AA6" s="2"/>
      <c r="AB6" s="2"/>
      <c r="AC6" s="2"/>
      <c r="AD6" s="2"/>
      <c r="AE6" s="22">
        <v>1.0</v>
      </c>
    </row>
    <row r="7">
      <c r="A7" s="19" t="s">
        <v>86</v>
      </c>
      <c r="B7" s="20" t="s">
        <v>62</v>
      </c>
      <c r="C7" s="20" t="s">
        <v>62</v>
      </c>
      <c r="D7" s="20" t="s">
        <v>63</v>
      </c>
      <c r="E7" s="2" t="s">
        <v>5</v>
      </c>
      <c r="F7" s="2" t="s">
        <v>64</v>
      </c>
      <c r="G7" s="21" t="s">
        <v>87</v>
      </c>
      <c r="H7" s="21" t="s">
        <v>87</v>
      </c>
      <c r="I7" s="22">
        <v>0.515</v>
      </c>
      <c r="J7" s="22">
        <v>18.9475688544258</v>
      </c>
      <c r="K7" s="22">
        <v>72.8377815407228</v>
      </c>
      <c r="L7" s="2" t="s">
        <v>66</v>
      </c>
      <c r="M7" s="2"/>
      <c r="N7" s="2" t="s">
        <v>67</v>
      </c>
      <c r="O7" s="2" t="s">
        <v>68</v>
      </c>
      <c r="P7" s="2"/>
      <c r="Q7" s="22">
        <v>0.0</v>
      </c>
      <c r="R7" s="22">
        <v>0.0</v>
      </c>
      <c r="S7" s="22">
        <v>1.0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"/>
      <c r="AA7" s="2"/>
      <c r="AB7" s="2"/>
      <c r="AC7" s="22">
        <v>200.0</v>
      </c>
      <c r="AD7" s="2"/>
      <c r="AE7" s="22">
        <v>1.0</v>
      </c>
    </row>
    <row r="8">
      <c r="A8" s="19" t="s">
        <v>88</v>
      </c>
      <c r="B8" s="20" t="s">
        <v>62</v>
      </c>
      <c r="C8" s="20" t="s">
        <v>62</v>
      </c>
      <c r="D8" s="20" t="s">
        <v>63</v>
      </c>
      <c r="E8" s="2" t="s">
        <v>5</v>
      </c>
      <c r="F8" s="2" t="s">
        <v>64</v>
      </c>
      <c r="G8" s="21" t="s">
        <v>89</v>
      </c>
      <c r="H8" s="21" t="s">
        <v>89</v>
      </c>
      <c r="I8" s="22">
        <v>0.805</v>
      </c>
      <c r="J8" s="22">
        <v>18.9500769370929</v>
      </c>
      <c r="K8" s="22">
        <v>72.838315880878</v>
      </c>
      <c r="L8" s="2" t="s">
        <v>66</v>
      </c>
      <c r="M8" s="2"/>
      <c r="N8" s="2" t="s">
        <v>67</v>
      </c>
      <c r="O8" s="2" t="s">
        <v>68</v>
      </c>
      <c r="P8" s="2"/>
      <c r="Q8" s="22">
        <v>0.0</v>
      </c>
      <c r="R8" s="22">
        <v>0.0</v>
      </c>
      <c r="S8" s="22">
        <v>1.0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"/>
      <c r="AA8" s="2"/>
      <c r="AB8" s="2"/>
      <c r="AC8" s="22">
        <v>200.0</v>
      </c>
      <c r="AD8" s="2"/>
      <c r="AE8" s="22">
        <v>1.0</v>
      </c>
    </row>
    <row r="9">
      <c r="A9" s="19" t="s">
        <v>90</v>
      </c>
      <c r="B9" s="20" t="s">
        <v>91</v>
      </c>
      <c r="C9" s="2" t="s">
        <v>92</v>
      </c>
      <c r="D9" s="20" t="s">
        <v>63</v>
      </c>
      <c r="E9" s="2" t="s">
        <v>5</v>
      </c>
      <c r="F9" s="2" t="s">
        <v>64</v>
      </c>
      <c r="G9" s="21" t="s">
        <v>93</v>
      </c>
      <c r="H9" s="21" t="s">
        <v>93</v>
      </c>
      <c r="I9" s="22">
        <v>1.175</v>
      </c>
      <c r="J9" s="22">
        <v>18.95341</v>
      </c>
      <c r="K9" s="22">
        <v>72.83832</v>
      </c>
      <c r="L9" s="2" t="s">
        <v>66</v>
      </c>
      <c r="M9" s="2"/>
      <c r="N9" s="2" t="s">
        <v>67</v>
      </c>
      <c r="O9" s="2" t="s">
        <v>68</v>
      </c>
      <c r="P9" s="2"/>
      <c r="Q9" s="22">
        <v>0.0</v>
      </c>
      <c r="R9" s="22">
        <v>0.0</v>
      </c>
      <c r="S9" s="22">
        <v>1.0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"/>
      <c r="AA9" s="2"/>
      <c r="AB9" s="2"/>
      <c r="AC9" s="22">
        <v>200.0</v>
      </c>
      <c r="AD9" s="2"/>
      <c r="AE9" s="22">
        <v>1.0</v>
      </c>
    </row>
    <row r="10">
      <c r="A10" s="19" t="s">
        <v>94</v>
      </c>
      <c r="B10" s="20" t="s">
        <v>91</v>
      </c>
      <c r="C10" s="2" t="s">
        <v>92</v>
      </c>
      <c r="D10" s="20" t="s">
        <v>63</v>
      </c>
      <c r="E10" s="2" t="s">
        <v>5</v>
      </c>
      <c r="F10" s="2" t="s">
        <v>64</v>
      </c>
      <c r="G10" s="21" t="s">
        <v>95</v>
      </c>
      <c r="H10" s="21" t="s">
        <v>95</v>
      </c>
      <c r="I10" s="22">
        <v>1.705</v>
      </c>
      <c r="J10" s="22">
        <v>18.95808</v>
      </c>
      <c r="K10" s="22">
        <v>72.83892</v>
      </c>
      <c r="L10" s="2" t="s">
        <v>66</v>
      </c>
      <c r="M10" s="2"/>
      <c r="N10" s="2" t="s">
        <v>67</v>
      </c>
      <c r="O10" s="2" t="s">
        <v>68</v>
      </c>
      <c r="P10" s="2"/>
      <c r="Q10" s="22">
        <v>0.0</v>
      </c>
      <c r="R10" s="22">
        <v>0.0</v>
      </c>
      <c r="S10" s="22">
        <v>1.0</v>
      </c>
      <c r="T10" s="22">
        <v>0.0</v>
      </c>
      <c r="U10" s="22">
        <v>0.0</v>
      </c>
      <c r="V10" s="22">
        <v>1.0</v>
      </c>
      <c r="W10" s="22">
        <v>0.0</v>
      </c>
      <c r="X10" s="22">
        <v>0.0</v>
      </c>
      <c r="Y10" s="22">
        <v>1.0</v>
      </c>
      <c r="Z10" s="2" t="s">
        <v>96</v>
      </c>
      <c r="AA10" s="2" t="s">
        <v>97</v>
      </c>
      <c r="AB10" s="2"/>
      <c r="AC10" s="22">
        <v>200.0</v>
      </c>
      <c r="AD10" s="2"/>
      <c r="AE10" s="22">
        <v>1.0</v>
      </c>
    </row>
    <row r="11">
      <c r="A11" s="23" t="s">
        <v>98</v>
      </c>
      <c r="B11" s="24" t="s">
        <v>91</v>
      </c>
      <c r="C11" s="25" t="s">
        <v>92</v>
      </c>
      <c r="D11" s="24" t="s">
        <v>63</v>
      </c>
      <c r="E11" s="25" t="s">
        <v>5</v>
      </c>
      <c r="F11" s="25" t="s">
        <v>64</v>
      </c>
      <c r="G11" s="26" t="s">
        <v>99</v>
      </c>
      <c r="H11" s="26" t="s">
        <v>99</v>
      </c>
      <c r="I11" s="27">
        <v>2.045</v>
      </c>
      <c r="J11" s="27">
        <v>18.96119</v>
      </c>
      <c r="K11" s="27">
        <v>72.83968</v>
      </c>
      <c r="L11" s="25" t="s">
        <v>66</v>
      </c>
      <c r="M11" s="25"/>
      <c r="N11" s="25" t="s">
        <v>81</v>
      </c>
      <c r="O11" s="25" t="s">
        <v>68</v>
      </c>
      <c r="P11" s="25"/>
      <c r="Q11" s="27">
        <v>1.0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1.0</v>
      </c>
      <c r="Z11" s="25" t="s">
        <v>96</v>
      </c>
      <c r="AA11" s="25" t="s">
        <v>97</v>
      </c>
      <c r="AB11" s="25"/>
      <c r="AC11" s="27">
        <v>200.0</v>
      </c>
      <c r="AD11" s="25"/>
      <c r="AE11" s="27">
        <v>1.0</v>
      </c>
    </row>
    <row r="12">
      <c r="A12" s="23" t="s">
        <v>100</v>
      </c>
      <c r="B12" s="24"/>
      <c r="C12" s="25"/>
      <c r="D12" s="24" t="s">
        <v>63</v>
      </c>
      <c r="E12" s="25" t="s">
        <v>5</v>
      </c>
      <c r="F12" s="25" t="s">
        <v>64</v>
      </c>
      <c r="G12" s="26" t="s">
        <v>101</v>
      </c>
      <c r="H12" s="26" t="s">
        <v>101</v>
      </c>
      <c r="I12" s="27">
        <v>2.725</v>
      </c>
      <c r="J12" s="27">
        <v>18.96565</v>
      </c>
      <c r="K12" s="27">
        <v>72.83732</v>
      </c>
      <c r="L12" s="25" t="s">
        <v>102</v>
      </c>
      <c r="M12" s="25"/>
      <c r="N12" s="25" t="s">
        <v>81</v>
      </c>
      <c r="O12" s="25" t="s">
        <v>68</v>
      </c>
      <c r="P12" s="25"/>
      <c r="Q12" s="27">
        <v>1.0</v>
      </c>
      <c r="R12" s="27">
        <v>0.0</v>
      </c>
      <c r="S12" s="27">
        <v>0.0</v>
      </c>
      <c r="T12" s="27">
        <v>0.0</v>
      </c>
      <c r="U12" s="27">
        <v>1.0</v>
      </c>
      <c r="V12" s="27">
        <v>0.0</v>
      </c>
      <c r="W12" s="27">
        <v>0.0</v>
      </c>
      <c r="X12" s="27">
        <v>0.0</v>
      </c>
      <c r="Y12" s="27">
        <v>0.0</v>
      </c>
      <c r="Z12" s="25"/>
      <c r="AA12" s="25"/>
      <c r="AB12" s="25"/>
      <c r="AC12" s="27">
        <v>200.0</v>
      </c>
      <c r="AD12" s="25"/>
      <c r="AE12" s="27">
        <v>1.0</v>
      </c>
    </row>
    <row r="13">
      <c r="A13" s="23" t="s">
        <v>103</v>
      </c>
      <c r="B13" s="25" t="s">
        <v>104</v>
      </c>
      <c r="C13" s="25" t="s">
        <v>105</v>
      </c>
      <c r="D13" s="24" t="s">
        <v>63</v>
      </c>
      <c r="E13" s="25" t="s">
        <v>5</v>
      </c>
      <c r="F13" s="25" t="s">
        <v>64</v>
      </c>
      <c r="G13" s="26" t="s">
        <v>106</v>
      </c>
      <c r="H13" s="26" t="s">
        <v>106</v>
      </c>
      <c r="I13" s="27">
        <v>3.171</v>
      </c>
      <c r="J13" s="27">
        <v>18.96856</v>
      </c>
      <c r="K13" s="27">
        <v>72.83439</v>
      </c>
      <c r="L13" s="25" t="s">
        <v>66</v>
      </c>
      <c r="M13" s="25"/>
      <c r="N13" s="25" t="s">
        <v>81</v>
      </c>
      <c r="O13" s="25" t="s">
        <v>68</v>
      </c>
      <c r="P13" s="25"/>
      <c r="Q13" s="27">
        <v>1.0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5"/>
      <c r="AA13" s="25"/>
      <c r="AB13" s="25"/>
      <c r="AC13" s="27">
        <v>200.0</v>
      </c>
      <c r="AD13" s="25"/>
      <c r="AE13" s="27">
        <v>1.0</v>
      </c>
    </row>
    <row r="14">
      <c r="A14" s="19" t="s">
        <v>107</v>
      </c>
      <c r="B14" s="20" t="s">
        <v>104</v>
      </c>
      <c r="C14" s="2" t="s">
        <v>105</v>
      </c>
      <c r="D14" s="20" t="s">
        <v>63</v>
      </c>
      <c r="E14" s="2" t="s">
        <v>5</v>
      </c>
      <c r="F14" s="2" t="s">
        <v>64</v>
      </c>
      <c r="G14" s="21" t="s">
        <v>108</v>
      </c>
      <c r="H14" s="21" t="s">
        <v>108</v>
      </c>
      <c r="I14" s="22">
        <v>3.82</v>
      </c>
      <c r="J14" s="22">
        <v>18.97429</v>
      </c>
      <c r="K14" s="22">
        <v>72.83281</v>
      </c>
      <c r="L14" s="2" t="s">
        <v>66</v>
      </c>
      <c r="M14" s="2"/>
      <c r="N14" s="2" t="s">
        <v>67</v>
      </c>
      <c r="O14" s="2" t="s">
        <v>68</v>
      </c>
      <c r="P14" s="2"/>
      <c r="Q14" s="22">
        <v>0.0</v>
      </c>
      <c r="R14" s="22">
        <v>0.0</v>
      </c>
      <c r="S14" s="22">
        <v>1.0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v>0.0</v>
      </c>
      <c r="Z14" s="2"/>
      <c r="AA14" s="2"/>
      <c r="AB14" s="2"/>
      <c r="AC14" s="22">
        <v>200.0</v>
      </c>
      <c r="AD14" s="2"/>
      <c r="AE14" s="22">
        <v>1.0</v>
      </c>
    </row>
    <row r="15">
      <c r="A15" s="28" t="s">
        <v>109</v>
      </c>
      <c r="B15" s="29" t="s">
        <v>104</v>
      </c>
      <c r="C15" s="30" t="s">
        <v>105</v>
      </c>
      <c r="D15" s="20" t="s">
        <v>63</v>
      </c>
      <c r="E15" s="2" t="s">
        <v>5</v>
      </c>
      <c r="F15" s="2" t="s">
        <v>64</v>
      </c>
      <c r="G15" s="31" t="s">
        <v>110</v>
      </c>
      <c r="H15" s="31" t="s">
        <v>110</v>
      </c>
      <c r="I15" s="22"/>
      <c r="J15" s="22"/>
      <c r="K15" s="22"/>
      <c r="L15" s="30" t="s">
        <v>111</v>
      </c>
      <c r="M15" s="2"/>
      <c r="N15" s="30" t="s">
        <v>67</v>
      </c>
      <c r="O15" s="30" t="s">
        <v>68</v>
      </c>
      <c r="P15" s="2"/>
      <c r="Q15" s="32">
        <v>0.0</v>
      </c>
      <c r="R15" s="32">
        <v>0.0</v>
      </c>
      <c r="S15" s="32">
        <v>1.0</v>
      </c>
      <c r="T15" s="32">
        <v>0.0</v>
      </c>
      <c r="U15" s="32">
        <v>0.0</v>
      </c>
      <c r="V15" s="32">
        <v>0.0</v>
      </c>
      <c r="W15" s="32">
        <v>0.0</v>
      </c>
      <c r="X15" s="32">
        <v>0.0</v>
      </c>
      <c r="Y15" s="32">
        <v>0.0</v>
      </c>
      <c r="Z15" s="2"/>
      <c r="AA15" s="2"/>
      <c r="AB15" s="2"/>
      <c r="AC15" s="22"/>
      <c r="AD15" s="2"/>
      <c r="AE15" s="32">
        <v>1.0</v>
      </c>
    </row>
    <row r="16">
      <c r="A16" s="19" t="s">
        <v>112</v>
      </c>
      <c r="B16" s="20" t="s">
        <v>104</v>
      </c>
      <c r="C16" s="2" t="s">
        <v>105</v>
      </c>
      <c r="D16" s="20" t="s">
        <v>63</v>
      </c>
      <c r="E16" s="2" t="s">
        <v>5</v>
      </c>
      <c r="F16" s="2" t="s">
        <v>64</v>
      </c>
      <c r="G16" s="21" t="s">
        <v>65</v>
      </c>
      <c r="H16" s="2" t="s">
        <v>113</v>
      </c>
      <c r="I16" s="22">
        <v>4.245</v>
      </c>
      <c r="J16" s="22">
        <v>18.97817</v>
      </c>
      <c r="K16" s="22">
        <v>72.83285</v>
      </c>
      <c r="L16" s="2" t="s">
        <v>66</v>
      </c>
      <c r="M16" s="2"/>
      <c r="N16" s="2" t="s">
        <v>67</v>
      </c>
      <c r="O16" s="2" t="s">
        <v>68</v>
      </c>
      <c r="P16" s="2"/>
      <c r="Q16" s="22">
        <v>0.0</v>
      </c>
      <c r="R16" s="22">
        <v>0.0</v>
      </c>
      <c r="S16" s="22">
        <v>1.0</v>
      </c>
      <c r="T16" s="22">
        <v>0.0</v>
      </c>
      <c r="U16" s="22">
        <v>0.0</v>
      </c>
      <c r="V16" s="22">
        <v>1.0</v>
      </c>
      <c r="W16" s="22">
        <v>1.0</v>
      </c>
      <c r="X16" s="22">
        <v>1.0</v>
      </c>
      <c r="Y16" s="22">
        <v>0.0</v>
      </c>
      <c r="Z16" s="2" t="s">
        <v>114</v>
      </c>
      <c r="AA16" s="2" t="s">
        <v>115</v>
      </c>
      <c r="AB16" s="2"/>
      <c r="AC16" s="22">
        <v>150.0</v>
      </c>
      <c r="AD16" s="2" t="s">
        <v>116</v>
      </c>
      <c r="AE16" s="22">
        <v>1.0</v>
      </c>
    </row>
    <row r="17">
      <c r="A17" s="33" t="s">
        <v>117</v>
      </c>
      <c r="B17" s="34"/>
      <c r="C17" s="35"/>
      <c r="D17" s="34" t="s">
        <v>63</v>
      </c>
      <c r="E17" s="35" t="s">
        <v>5</v>
      </c>
      <c r="F17" s="35" t="s">
        <v>64</v>
      </c>
      <c r="G17" s="36" t="s">
        <v>118</v>
      </c>
      <c r="H17" s="36" t="s">
        <v>118</v>
      </c>
      <c r="I17" s="37">
        <v>4.895</v>
      </c>
      <c r="J17" s="37">
        <v>18.98372</v>
      </c>
      <c r="K17" s="37">
        <v>72.83296</v>
      </c>
      <c r="L17" s="35" t="s">
        <v>102</v>
      </c>
      <c r="M17" s="35"/>
      <c r="N17" s="35" t="s">
        <v>119</v>
      </c>
      <c r="O17" s="35" t="s">
        <v>68</v>
      </c>
      <c r="P17" s="35"/>
      <c r="Q17" s="37">
        <v>0.0</v>
      </c>
      <c r="R17" s="37">
        <v>1.0</v>
      </c>
      <c r="S17" s="37">
        <v>0.0</v>
      </c>
      <c r="T17" s="37">
        <v>0.0</v>
      </c>
      <c r="U17" s="37">
        <v>1.0</v>
      </c>
      <c r="V17" s="37">
        <v>0.0</v>
      </c>
      <c r="W17" s="37">
        <v>0.0</v>
      </c>
      <c r="X17" s="37">
        <v>0.0</v>
      </c>
      <c r="Y17" s="37">
        <v>0.0</v>
      </c>
      <c r="Z17" s="35"/>
      <c r="AA17" s="35"/>
      <c r="AB17" s="35"/>
      <c r="AC17" s="37">
        <v>250.0</v>
      </c>
      <c r="AD17" s="35"/>
      <c r="AE17" s="37">
        <v>1.0</v>
      </c>
    </row>
    <row r="18">
      <c r="A18" s="23" t="s">
        <v>120</v>
      </c>
      <c r="B18" s="24" t="s">
        <v>104</v>
      </c>
      <c r="C18" s="25" t="s">
        <v>105</v>
      </c>
      <c r="D18" s="24" t="s">
        <v>63</v>
      </c>
      <c r="E18" s="25" t="s">
        <v>5</v>
      </c>
      <c r="F18" s="25" t="s">
        <v>64</v>
      </c>
      <c r="G18" s="26" t="s">
        <v>121</v>
      </c>
      <c r="H18" s="26" t="s">
        <v>121</v>
      </c>
      <c r="I18" s="27">
        <v>5.225</v>
      </c>
      <c r="J18" s="27">
        <v>18.9867</v>
      </c>
      <c r="K18" s="27">
        <v>72.83295</v>
      </c>
      <c r="L18" s="25" t="s">
        <v>66</v>
      </c>
      <c r="M18" s="25"/>
      <c r="N18" s="25" t="s">
        <v>81</v>
      </c>
      <c r="O18" s="25" t="s">
        <v>68</v>
      </c>
      <c r="P18" s="25"/>
      <c r="Q18" s="27">
        <v>1.0</v>
      </c>
      <c r="R18" s="27">
        <v>0.0</v>
      </c>
      <c r="S18" s="27">
        <v>0.0</v>
      </c>
      <c r="T18" s="27">
        <v>0.0</v>
      </c>
      <c r="U18" s="27">
        <v>0.0</v>
      </c>
      <c r="V18" s="27">
        <v>0.0</v>
      </c>
      <c r="W18" s="27">
        <v>0.0</v>
      </c>
      <c r="X18" s="27">
        <v>0.0</v>
      </c>
      <c r="Y18" s="27">
        <v>0.0</v>
      </c>
      <c r="Z18" s="25"/>
      <c r="AA18" s="25"/>
      <c r="AB18" s="25"/>
      <c r="AC18" s="27">
        <v>200.0</v>
      </c>
      <c r="AD18" s="25"/>
      <c r="AE18" s="27">
        <v>1.0</v>
      </c>
    </row>
    <row r="19">
      <c r="A19" s="19" t="s">
        <v>122</v>
      </c>
      <c r="B19" s="20" t="s">
        <v>104</v>
      </c>
      <c r="C19" s="2" t="s">
        <v>105</v>
      </c>
      <c r="D19" s="20" t="s">
        <v>63</v>
      </c>
      <c r="E19" s="2" t="s">
        <v>5</v>
      </c>
      <c r="F19" s="2" t="s">
        <v>64</v>
      </c>
      <c r="G19" s="21" t="s">
        <v>123</v>
      </c>
      <c r="H19" s="21" t="s">
        <v>123</v>
      </c>
      <c r="I19" s="22">
        <v>5.55</v>
      </c>
      <c r="J19" s="22">
        <v>18.98999</v>
      </c>
      <c r="K19" s="22">
        <v>72.83293</v>
      </c>
      <c r="L19" s="2" t="s">
        <v>66</v>
      </c>
      <c r="M19" s="2"/>
      <c r="N19" s="2" t="s">
        <v>67</v>
      </c>
      <c r="O19" s="2" t="s">
        <v>68</v>
      </c>
      <c r="P19" s="2"/>
      <c r="Q19" s="22">
        <v>0.0</v>
      </c>
      <c r="R19" s="22">
        <v>0.0</v>
      </c>
      <c r="S19" s="22">
        <v>1.0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"/>
      <c r="AA19" s="2"/>
      <c r="AB19" s="2"/>
      <c r="AC19" s="22">
        <v>200.0</v>
      </c>
      <c r="AD19" s="2"/>
      <c r="AE19" s="22">
        <v>1.0</v>
      </c>
    </row>
    <row r="20">
      <c r="A20" s="19" t="s">
        <v>124</v>
      </c>
      <c r="B20" s="20"/>
      <c r="C20" s="2"/>
      <c r="D20" s="20" t="s">
        <v>63</v>
      </c>
      <c r="E20" s="2" t="s">
        <v>5</v>
      </c>
      <c r="F20" s="2" t="s">
        <v>64</v>
      </c>
      <c r="G20" s="21" t="s">
        <v>125</v>
      </c>
      <c r="H20" s="21" t="s">
        <v>125</v>
      </c>
      <c r="I20" s="22">
        <v>5.925</v>
      </c>
      <c r="J20" s="22">
        <v>18.99348</v>
      </c>
      <c r="K20" s="22">
        <v>72.833</v>
      </c>
      <c r="L20" s="2" t="s">
        <v>102</v>
      </c>
      <c r="M20" s="2"/>
      <c r="N20" s="2" t="s">
        <v>67</v>
      </c>
      <c r="O20" s="2" t="s">
        <v>68</v>
      </c>
      <c r="P20" s="2"/>
      <c r="Q20" s="22">
        <v>0.0</v>
      </c>
      <c r="R20" s="22">
        <v>0.0</v>
      </c>
      <c r="S20" s="22">
        <v>1.0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"/>
      <c r="AA20" s="2"/>
      <c r="AB20" s="2"/>
      <c r="AC20" s="22">
        <v>200.0</v>
      </c>
      <c r="AD20" s="2"/>
      <c r="AE20" s="22">
        <v>1.0</v>
      </c>
    </row>
    <row r="21">
      <c r="A21" s="19" t="s">
        <v>126</v>
      </c>
      <c r="B21" s="20"/>
      <c r="C21" s="2"/>
      <c r="D21" s="20" t="s">
        <v>63</v>
      </c>
      <c r="E21" s="2" t="s">
        <v>5</v>
      </c>
      <c r="F21" s="2" t="s">
        <v>64</v>
      </c>
      <c r="G21" s="21" t="s">
        <v>127</v>
      </c>
      <c r="H21" s="21" t="s">
        <v>127</v>
      </c>
      <c r="I21" s="22">
        <v>6.315</v>
      </c>
      <c r="J21" s="22">
        <v>18.99703</v>
      </c>
      <c r="K21" s="22">
        <v>72.83307</v>
      </c>
      <c r="L21" s="2" t="s">
        <v>102</v>
      </c>
      <c r="M21" s="2"/>
      <c r="N21" s="2" t="s">
        <v>67</v>
      </c>
      <c r="O21" s="2" t="s">
        <v>68</v>
      </c>
      <c r="P21" s="2"/>
      <c r="Q21" s="22">
        <v>0.0</v>
      </c>
      <c r="R21" s="22">
        <v>0.0</v>
      </c>
      <c r="S21" s="22">
        <v>1.0</v>
      </c>
      <c r="T21" s="22">
        <v>0.0</v>
      </c>
      <c r="U21" s="22">
        <v>1.0</v>
      </c>
      <c r="V21" s="22">
        <v>0.0</v>
      </c>
      <c r="W21" s="22">
        <v>0.0</v>
      </c>
      <c r="X21" s="22">
        <v>0.0</v>
      </c>
      <c r="Y21" s="22">
        <v>0.0</v>
      </c>
      <c r="Z21" s="2"/>
      <c r="AA21" s="2"/>
      <c r="AB21" s="2"/>
      <c r="AC21" s="22">
        <v>200.0</v>
      </c>
      <c r="AD21" s="2"/>
      <c r="AE21" s="22">
        <v>1.0</v>
      </c>
    </row>
    <row r="22">
      <c r="A22" s="33" t="s">
        <v>128</v>
      </c>
      <c r="B22" s="34" t="s">
        <v>129</v>
      </c>
      <c r="C22" s="35" t="s">
        <v>130</v>
      </c>
      <c r="D22" s="34" t="s">
        <v>63</v>
      </c>
      <c r="E22" s="35" t="s">
        <v>5</v>
      </c>
      <c r="F22" s="35" t="s">
        <v>64</v>
      </c>
      <c r="G22" s="36" t="s">
        <v>131</v>
      </c>
      <c r="H22" s="36" t="s">
        <v>131</v>
      </c>
      <c r="I22" s="37">
        <v>7.055</v>
      </c>
      <c r="J22" s="37">
        <v>19.00315</v>
      </c>
      <c r="K22" s="37">
        <v>72.83444</v>
      </c>
      <c r="L22" s="35" t="s">
        <v>66</v>
      </c>
      <c r="M22" s="35"/>
      <c r="N22" s="35" t="s">
        <v>119</v>
      </c>
      <c r="O22" s="35" t="s">
        <v>68</v>
      </c>
      <c r="P22" s="35"/>
      <c r="Q22" s="37">
        <v>0.0</v>
      </c>
      <c r="R22" s="37">
        <v>1.0</v>
      </c>
      <c r="S22" s="37">
        <v>0.0</v>
      </c>
      <c r="T22" s="37">
        <v>0.0</v>
      </c>
      <c r="U22" s="37">
        <v>0.0</v>
      </c>
      <c r="V22" s="37">
        <v>1.0</v>
      </c>
      <c r="W22" s="37">
        <v>0.0</v>
      </c>
      <c r="X22" s="37">
        <v>0.0</v>
      </c>
      <c r="Y22" s="37">
        <v>0.0</v>
      </c>
      <c r="Z22" s="35"/>
      <c r="AA22" s="35"/>
      <c r="AB22" s="35"/>
      <c r="AC22" s="37">
        <v>200.0</v>
      </c>
      <c r="AD22" s="35"/>
      <c r="AE22" s="37">
        <v>1.0</v>
      </c>
    </row>
    <row r="23">
      <c r="A23" s="19" t="s">
        <v>132</v>
      </c>
      <c r="B23" s="20" t="s">
        <v>129</v>
      </c>
      <c r="C23" s="2" t="s">
        <v>130</v>
      </c>
      <c r="D23" s="20" t="s">
        <v>63</v>
      </c>
      <c r="E23" s="2" t="s">
        <v>5</v>
      </c>
      <c r="F23" s="2" t="s">
        <v>64</v>
      </c>
      <c r="G23" s="21" t="s">
        <v>133</v>
      </c>
      <c r="H23" s="21" t="s">
        <v>133</v>
      </c>
      <c r="I23" s="22">
        <v>7.495</v>
      </c>
      <c r="J23" s="22">
        <v>19.00716</v>
      </c>
      <c r="K23" s="22">
        <v>72.83637</v>
      </c>
      <c r="L23" s="2" t="s">
        <v>66</v>
      </c>
      <c r="M23" s="2"/>
      <c r="N23" s="2" t="s">
        <v>67</v>
      </c>
      <c r="O23" s="2" t="s">
        <v>68</v>
      </c>
      <c r="P23" s="2"/>
      <c r="Q23" s="22">
        <v>0.0</v>
      </c>
      <c r="R23" s="22">
        <v>0.0</v>
      </c>
      <c r="S23" s="22">
        <v>1.0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"/>
      <c r="AA23" s="2"/>
      <c r="AB23" s="2"/>
      <c r="AC23" s="22">
        <v>200.0</v>
      </c>
      <c r="AD23" s="2"/>
      <c r="AE23" s="22">
        <v>1.0</v>
      </c>
    </row>
    <row r="24">
      <c r="A24" s="23" t="s">
        <v>134</v>
      </c>
      <c r="B24" s="24" t="s">
        <v>129</v>
      </c>
      <c r="C24" s="25" t="s">
        <v>130</v>
      </c>
      <c r="D24" s="24" t="s">
        <v>63</v>
      </c>
      <c r="E24" s="25" t="s">
        <v>5</v>
      </c>
      <c r="F24" s="25" t="s">
        <v>64</v>
      </c>
      <c r="G24" s="26" t="s">
        <v>65</v>
      </c>
      <c r="H24" s="25" t="s">
        <v>135</v>
      </c>
      <c r="I24" s="27">
        <v>7.858</v>
      </c>
      <c r="J24" s="27">
        <v>19.00986</v>
      </c>
      <c r="K24" s="27">
        <v>72.83814</v>
      </c>
      <c r="L24" s="25" t="s">
        <v>66</v>
      </c>
      <c r="M24" s="25"/>
      <c r="N24" s="25" t="s">
        <v>81</v>
      </c>
      <c r="O24" s="25" t="s">
        <v>68</v>
      </c>
      <c r="P24" s="25"/>
      <c r="Q24" s="27">
        <v>1.0</v>
      </c>
      <c r="R24" s="27">
        <v>0.0</v>
      </c>
      <c r="S24" s="27">
        <v>0.0</v>
      </c>
      <c r="T24" s="27">
        <v>0.0</v>
      </c>
      <c r="U24" s="27">
        <v>0.0</v>
      </c>
      <c r="V24" s="27">
        <v>0.0</v>
      </c>
      <c r="W24" s="27">
        <v>0.0</v>
      </c>
      <c r="X24" s="27">
        <v>0.0</v>
      </c>
      <c r="Y24" s="27">
        <v>0.0</v>
      </c>
      <c r="Z24" s="25"/>
      <c r="AA24" s="25"/>
      <c r="AB24" s="25"/>
      <c r="AC24" s="27">
        <v>200.0</v>
      </c>
      <c r="AD24" s="25"/>
      <c r="AE24" s="27">
        <v>1.0</v>
      </c>
    </row>
    <row r="25">
      <c r="A25" s="19" t="s">
        <v>136</v>
      </c>
      <c r="B25" s="20" t="s">
        <v>137</v>
      </c>
      <c r="C25" s="2" t="s">
        <v>138</v>
      </c>
      <c r="D25" s="20" t="s">
        <v>63</v>
      </c>
      <c r="E25" s="2" t="s">
        <v>5</v>
      </c>
      <c r="F25" s="2" t="s">
        <v>64</v>
      </c>
      <c r="G25" s="21" t="s">
        <v>139</v>
      </c>
      <c r="H25" s="21" t="s">
        <v>139</v>
      </c>
      <c r="I25" s="22">
        <v>8.221</v>
      </c>
      <c r="J25" s="22">
        <v>19.01269</v>
      </c>
      <c r="K25" s="22">
        <v>72.83988</v>
      </c>
      <c r="L25" s="2" t="s">
        <v>66</v>
      </c>
      <c r="M25" s="2"/>
      <c r="N25" s="2" t="s">
        <v>67</v>
      </c>
      <c r="O25" s="2" t="s">
        <v>68</v>
      </c>
      <c r="P25" s="2"/>
      <c r="Q25" s="22">
        <v>0.0</v>
      </c>
      <c r="R25" s="22">
        <v>0.0</v>
      </c>
      <c r="S25" s="22">
        <v>1.0</v>
      </c>
      <c r="T25" s="22">
        <v>0.0</v>
      </c>
      <c r="U25" s="22">
        <v>0.0</v>
      </c>
      <c r="V25" s="22">
        <v>1.0</v>
      </c>
      <c r="W25" s="22">
        <v>0.0</v>
      </c>
      <c r="X25" s="22">
        <v>0.0</v>
      </c>
      <c r="Y25" s="22">
        <v>1.0</v>
      </c>
      <c r="Z25" s="2" t="s">
        <v>140</v>
      </c>
      <c r="AA25" s="2" t="s">
        <v>97</v>
      </c>
      <c r="AB25" s="2"/>
      <c r="AC25" s="22">
        <v>200.0</v>
      </c>
      <c r="AD25" s="2"/>
      <c r="AE25" s="22">
        <v>1.0</v>
      </c>
    </row>
    <row r="26">
      <c r="A26" s="19" t="s">
        <v>141</v>
      </c>
      <c r="B26" s="20" t="s">
        <v>137</v>
      </c>
      <c r="C26" s="2" t="s">
        <v>138</v>
      </c>
      <c r="D26" s="20" t="s">
        <v>63</v>
      </c>
      <c r="E26" s="2" t="s">
        <v>5</v>
      </c>
      <c r="F26" s="2" t="s">
        <v>64</v>
      </c>
      <c r="G26" s="21" t="s">
        <v>142</v>
      </c>
      <c r="H26" s="21" t="s">
        <v>142</v>
      </c>
      <c r="I26" s="22">
        <v>8.714</v>
      </c>
      <c r="J26" s="22">
        <v>19.01634</v>
      </c>
      <c r="K26" s="22">
        <v>72.84236</v>
      </c>
      <c r="L26" s="2" t="s">
        <v>66</v>
      </c>
      <c r="M26" s="2"/>
      <c r="N26" s="2" t="s">
        <v>67</v>
      </c>
      <c r="O26" s="2" t="s">
        <v>68</v>
      </c>
      <c r="P26" s="2"/>
      <c r="Q26" s="22">
        <v>0.0</v>
      </c>
      <c r="R26" s="22">
        <v>0.0</v>
      </c>
      <c r="S26" s="22">
        <v>1.0</v>
      </c>
      <c r="T26" s="22">
        <v>0.0</v>
      </c>
      <c r="U26" s="22">
        <v>1.0</v>
      </c>
      <c r="V26" s="22">
        <v>0.0</v>
      </c>
      <c r="W26" s="22">
        <v>0.0</v>
      </c>
      <c r="X26" s="22">
        <v>0.0</v>
      </c>
      <c r="Y26" s="22">
        <v>0.0</v>
      </c>
      <c r="Z26" s="2"/>
      <c r="AA26" s="2"/>
      <c r="AB26" s="2"/>
      <c r="AC26" s="22">
        <v>200.0</v>
      </c>
      <c r="AD26" s="2"/>
      <c r="AE26" s="22">
        <v>1.0</v>
      </c>
    </row>
    <row r="27">
      <c r="A27" s="19" t="s">
        <v>143</v>
      </c>
      <c r="B27" s="20" t="s">
        <v>137</v>
      </c>
      <c r="C27" s="2" t="s">
        <v>138</v>
      </c>
      <c r="D27" s="20" t="s">
        <v>63</v>
      </c>
      <c r="E27" s="2" t="s">
        <v>5</v>
      </c>
      <c r="F27" s="2" t="s">
        <v>64</v>
      </c>
      <c r="G27" s="21" t="s">
        <v>144</v>
      </c>
      <c r="H27" s="21" t="s">
        <v>145</v>
      </c>
      <c r="I27" s="22">
        <v>9.103</v>
      </c>
      <c r="J27" s="22">
        <v>19.01929</v>
      </c>
      <c r="K27" s="22">
        <v>72.84446</v>
      </c>
      <c r="L27" s="2" t="s">
        <v>66</v>
      </c>
      <c r="M27" s="2"/>
      <c r="N27" s="2" t="s">
        <v>67</v>
      </c>
      <c r="O27" s="2" t="s">
        <v>68</v>
      </c>
      <c r="P27" s="2"/>
      <c r="Q27" s="22">
        <v>0.0</v>
      </c>
      <c r="R27" s="22">
        <v>0.0</v>
      </c>
      <c r="S27" s="22">
        <v>1.0</v>
      </c>
      <c r="T27" s="22">
        <v>0.0</v>
      </c>
      <c r="U27" s="22">
        <v>0.0</v>
      </c>
      <c r="V27" s="22">
        <v>1.0</v>
      </c>
      <c r="W27" s="22">
        <v>0.0</v>
      </c>
      <c r="X27" s="22">
        <v>1.0</v>
      </c>
      <c r="Y27" s="22">
        <v>0.0</v>
      </c>
      <c r="Z27" s="2" t="s">
        <v>146</v>
      </c>
      <c r="AA27" s="2" t="s">
        <v>115</v>
      </c>
      <c r="AB27" s="2"/>
      <c r="AC27" s="22">
        <v>200.0</v>
      </c>
      <c r="AD27" s="2"/>
      <c r="AE27" s="22">
        <v>1.0</v>
      </c>
    </row>
    <row r="28">
      <c r="A28" s="19" t="s">
        <v>147</v>
      </c>
      <c r="B28" s="20" t="s">
        <v>137</v>
      </c>
      <c r="C28" s="2" t="s">
        <v>138</v>
      </c>
      <c r="D28" s="20" t="s">
        <v>63</v>
      </c>
      <c r="E28" s="2" t="s">
        <v>5</v>
      </c>
      <c r="F28" s="2" t="s">
        <v>64</v>
      </c>
      <c r="G28" s="21" t="s">
        <v>148</v>
      </c>
      <c r="H28" s="21" t="s">
        <v>145</v>
      </c>
      <c r="I28" s="22">
        <v>9.103</v>
      </c>
      <c r="J28" s="22">
        <v>19.0194393563546</v>
      </c>
      <c r="K28" s="22">
        <v>72.8447054492932</v>
      </c>
      <c r="L28" s="2" t="s">
        <v>66</v>
      </c>
      <c r="M28" s="2"/>
      <c r="N28" s="2" t="s">
        <v>67</v>
      </c>
      <c r="O28" s="2" t="s">
        <v>68</v>
      </c>
      <c r="P28" s="2"/>
      <c r="Q28" s="22">
        <v>0.0</v>
      </c>
      <c r="R28" s="22">
        <v>0.0</v>
      </c>
      <c r="S28" s="22">
        <v>1.0</v>
      </c>
      <c r="T28" s="22">
        <v>0.0</v>
      </c>
      <c r="U28" s="22">
        <v>0.0</v>
      </c>
      <c r="V28" s="22">
        <v>0.0</v>
      </c>
      <c r="W28" s="22">
        <v>0.0</v>
      </c>
      <c r="X28" s="22">
        <v>1.0</v>
      </c>
      <c r="Y28" s="22">
        <v>0.0</v>
      </c>
      <c r="Z28" s="2" t="s">
        <v>146</v>
      </c>
      <c r="AA28" s="2" t="s">
        <v>115</v>
      </c>
      <c r="AB28" s="2"/>
      <c r="AC28" s="22">
        <v>200.0</v>
      </c>
      <c r="AD28" s="2"/>
      <c r="AE28" s="22">
        <v>1.0</v>
      </c>
    </row>
    <row r="29">
      <c r="A29" s="19" t="s">
        <v>149</v>
      </c>
      <c r="B29" s="20" t="s">
        <v>137</v>
      </c>
      <c r="C29" s="2" t="s">
        <v>138</v>
      </c>
      <c r="D29" s="20" t="s">
        <v>63</v>
      </c>
      <c r="E29" s="2" t="s">
        <v>5</v>
      </c>
      <c r="F29" s="2" t="s">
        <v>64</v>
      </c>
      <c r="G29" s="21" t="s">
        <v>150</v>
      </c>
      <c r="H29" s="21" t="s">
        <v>150</v>
      </c>
      <c r="I29" s="22">
        <v>9.681</v>
      </c>
      <c r="J29" s="22">
        <v>19.0244</v>
      </c>
      <c r="K29" s="22">
        <v>72.84816</v>
      </c>
      <c r="L29" s="2" t="s">
        <v>66</v>
      </c>
      <c r="M29" s="2"/>
      <c r="N29" s="2" t="s">
        <v>67</v>
      </c>
      <c r="O29" s="2" t="s">
        <v>68</v>
      </c>
      <c r="P29" s="2"/>
      <c r="Q29" s="22">
        <v>0.0</v>
      </c>
      <c r="R29" s="22">
        <v>0.0</v>
      </c>
      <c r="S29" s="22">
        <v>1.0</v>
      </c>
      <c r="T29" s="22">
        <v>0.0</v>
      </c>
      <c r="U29" s="22">
        <v>0.0</v>
      </c>
      <c r="V29" s="22">
        <v>0.0</v>
      </c>
      <c r="W29" s="22">
        <v>0.0</v>
      </c>
      <c r="X29" s="22">
        <v>0.0</v>
      </c>
      <c r="Y29" s="22">
        <v>0.0</v>
      </c>
      <c r="Z29" s="2"/>
      <c r="AA29" s="2"/>
      <c r="AB29" s="2"/>
      <c r="AC29" s="22">
        <v>300.0</v>
      </c>
      <c r="AD29" s="2"/>
      <c r="AE29" s="22">
        <v>1.0</v>
      </c>
    </row>
    <row r="30">
      <c r="A30" s="23" t="s">
        <v>151</v>
      </c>
      <c r="B30" s="24" t="s">
        <v>137</v>
      </c>
      <c r="C30" s="25" t="s">
        <v>138</v>
      </c>
      <c r="D30" s="24" t="s">
        <v>63</v>
      </c>
      <c r="E30" s="25" t="s">
        <v>5</v>
      </c>
      <c r="F30" s="25" t="s">
        <v>64</v>
      </c>
      <c r="G30" s="26" t="s">
        <v>152</v>
      </c>
      <c r="H30" s="26" t="s">
        <v>152</v>
      </c>
      <c r="I30" s="27">
        <v>10.081</v>
      </c>
      <c r="J30" s="27">
        <v>19.02657</v>
      </c>
      <c r="K30" s="27">
        <v>72.84975</v>
      </c>
      <c r="L30" s="25" t="s">
        <v>66</v>
      </c>
      <c r="M30" s="25"/>
      <c r="N30" s="25" t="s">
        <v>81</v>
      </c>
      <c r="O30" s="25" t="s">
        <v>68</v>
      </c>
      <c r="P30" s="25"/>
      <c r="Q30" s="27">
        <v>1.0</v>
      </c>
      <c r="R30" s="27">
        <v>0.0</v>
      </c>
      <c r="S30" s="27">
        <v>0.0</v>
      </c>
      <c r="T30" s="27">
        <v>0.0</v>
      </c>
      <c r="U30" s="27">
        <v>1.0</v>
      </c>
      <c r="V30" s="27">
        <v>0.0</v>
      </c>
      <c r="W30" s="27">
        <v>0.0</v>
      </c>
      <c r="X30" s="27">
        <v>0.0</v>
      </c>
      <c r="Y30" s="27">
        <v>0.0</v>
      </c>
      <c r="Z30" s="25"/>
      <c r="AA30" s="25"/>
      <c r="AB30" s="25"/>
      <c r="AC30" s="27">
        <v>200.0</v>
      </c>
      <c r="AD30" s="25"/>
      <c r="AE30" s="27">
        <v>1.0</v>
      </c>
    </row>
    <row r="31">
      <c r="A31" s="23" t="s">
        <v>153</v>
      </c>
      <c r="B31" s="24" t="s">
        <v>137</v>
      </c>
      <c r="C31" s="25" t="s">
        <v>138</v>
      </c>
      <c r="D31" s="24" t="s">
        <v>63</v>
      </c>
      <c r="E31" s="25" t="s">
        <v>5</v>
      </c>
      <c r="F31" s="25" t="s">
        <v>64</v>
      </c>
      <c r="G31" s="26" t="s">
        <v>154</v>
      </c>
      <c r="H31" s="25" t="s">
        <v>155</v>
      </c>
      <c r="I31" s="27">
        <v>10.394</v>
      </c>
      <c r="J31" s="27">
        <v>19.02895</v>
      </c>
      <c r="K31" s="27">
        <v>72.85139</v>
      </c>
      <c r="L31" s="25" t="s">
        <v>66</v>
      </c>
      <c r="M31" s="25"/>
      <c r="N31" s="25" t="s">
        <v>81</v>
      </c>
      <c r="O31" s="25" t="s">
        <v>68</v>
      </c>
      <c r="P31" s="25"/>
      <c r="Q31" s="27">
        <v>1.0</v>
      </c>
      <c r="R31" s="27">
        <v>0.0</v>
      </c>
      <c r="S31" s="27">
        <v>0.0</v>
      </c>
      <c r="T31" s="27">
        <v>0.0</v>
      </c>
      <c r="U31" s="27">
        <v>0.0</v>
      </c>
      <c r="V31" s="27">
        <v>1.0</v>
      </c>
      <c r="W31" s="27">
        <v>0.0</v>
      </c>
      <c r="X31" s="27">
        <v>1.0</v>
      </c>
      <c r="Y31" s="27">
        <v>0.0</v>
      </c>
      <c r="Z31" s="25" t="s">
        <v>156</v>
      </c>
      <c r="AA31" s="25" t="s">
        <v>115</v>
      </c>
      <c r="AB31" s="25"/>
      <c r="AC31" s="27">
        <v>200.0</v>
      </c>
      <c r="AD31" s="25"/>
      <c r="AE31" s="27">
        <v>1.0</v>
      </c>
    </row>
    <row r="32">
      <c r="A32" s="33" t="s">
        <v>157</v>
      </c>
      <c r="B32" s="34"/>
      <c r="C32" s="35"/>
      <c r="D32" s="34" t="s">
        <v>63</v>
      </c>
      <c r="E32" s="35" t="s">
        <v>5</v>
      </c>
      <c r="F32" s="35" t="s">
        <v>64</v>
      </c>
      <c r="G32" s="36" t="s">
        <v>158</v>
      </c>
      <c r="H32" s="36" t="s">
        <v>158</v>
      </c>
      <c r="I32" s="37">
        <v>10.969</v>
      </c>
      <c r="J32" s="37">
        <v>19.03331</v>
      </c>
      <c r="K32" s="37">
        <v>72.85441</v>
      </c>
      <c r="L32" s="35" t="s">
        <v>102</v>
      </c>
      <c r="M32" s="35"/>
      <c r="N32" s="35" t="s">
        <v>119</v>
      </c>
      <c r="O32" s="35" t="s">
        <v>68</v>
      </c>
      <c r="P32" s="35"/>
      <c r="Q32" s="37">
        <v>0.0</v>
      </c>
      <c r="R32" s="37">
        <v>1.0</v>
      </c>
      <c r="S32" s="37">
        <v>0.0</v>
      </c>
      <c r="T32" s="37">
        <v>0.0</v>
      </c>
      <c r="U32" s="37">
        <v>0.0</v>
      </c>
      <c r="V32" s="37">
        <v>0.0</v>
      </c>
      <c r="W32" s="37">
        <v>0.0</v>
      </c>
      <c r="X32" s="37">
        <v>0.0</v>
      </c>
      <c r="Y32" s="37">
        <v>0.0</v>
      </c>
      <c r="Z32" s="35"/>
      <c r="AA32" s="35"/>
      <c r="AB32" s="35"/>
      <c r="AC32" s="37">
        <v>300.0</v>
      </c>
      <c r="AD32" s="35"/>
      <c r="AE32" s="37">
        <v>1.0</v>
      </c>
    </row>
    <row r="33">
      <c r="A33" s="23" t="s">
        <v>159</v>
      </c>
      <c r="B33" s="24"/>
      <c r="C33" s="25"/>
      <c r="D33" s="24" t="s">
        <v>63</v>
      </c>
      <c r="E33" s="25" t="s">
        <v>5</v>
      </c>
      <c r="F33" s="25" t="s">
        <v>64</v>
      </c>
      <c r="G33" s="26" t="s">
        <v>160</v>
      </c>
      <c r="H33" s="26" t="s">
        <v>160</v>
      </c>
      <c r="I33" s="27">
        <v>11.375</v>
      </c>
      <c r="J33" s="27">
        <v>19.03636</v>
      </c>
      <c r="K33" s="27">
        <v>72.8564</v>
      </c>
      <c r="L33" s="25" t="s">
        <v>102</v>
      </c>
      <c r="M33" s="25"/>
      <c r="N33" s="25" t="s">
        <v>81</v>
      </c>
      <c r="O33" s="25" t="s">
        <v>68</v>
      </c>
      <c r="P33" s="25"/>
      <c r="Q33" s="27">
        <v>1.0</v>
      </c>
      <c r="R33" s="27">
        <v>0.0</v>
      </c>
      <c r="S33" s="27">
        <v>0.0</v>
      </c>
      <c r="T33" s="27">
        <v>0.0</v>
      </c>
      <c r="U33" s="27">
        <v>0.0</v>
      </c>
      <c r="V33" s="27">
        <v>0.0</v>
      </c>
      <c r="W33" s="27">
        <v>0.0</v>
      </c>
      <c r="X33" s="27">
        <v>0.0</v>
      </c>
      <c r="Y33" s="27">
        <v>0.0</v>
      </c>
      <c r="Z33" s="25"/>
      <c r="AA33" s="25"/>
      <c r="AB33" s="25"/>
      <c r="AC33" s="27">
        <v>200.0</v>
      </c>
      <c r="AD33" s="25"/>
      <c r="AE33" s="27">
        <v>1.0</v>
      </c>
    </row>
    <row r="34">
      <c r="A34" s="23" t="s">
        <v>161</v>
      </c>
      <c r="B34" s="24"/>
      <c r="C34" s="25"/>
      <c r="D34" s="24" t="s">
        <v>63</v>
      </c>
      <c r="E34" s="25" t="s">
        <v>5</v>
      </c>
      <c r="F34" s="25" t="s">
        <v>64</v>
      </c>
      <c r="G34" s="26" t="s">
        <v>162</v>
      </c>
      <c r="H34" s="26" t="s">
        <v>162</v>
      </c>
      <c r="I34" s="27">
        <v>11.771</v>
      </c>
      <c r="J34" s="27">
        <v>19.03936</v>
      </c>
      <c r="K34" s="27">
        <v>72.85848</v>
      </c>
      <c r="L34" s="25" t="s">
        <v>102</v>
      </c>
      <c r="M34" s="25"/>
      <c r="N34" s="25" t="s">
        <v>81</v>
      </c>
      <c r="O34" s="25" t="s">
        <v>68</v>
      </c>
      <c r="P34" s="25"/>
      <c r="Q34" s="27">
        <v>1.0</v>
      </c>
      <c r="R34" s="27">
        <v>0.0</v>
      </c>
      <c r="S34" s="27">
        <v>0.0</v>
      </c>
      <c r="T34" s="27">
        <v>0.0</v>
      </c>
      <c r="U34" s="27">
        <v>0.0</v>
      </c>
      <c r="V34" s="27">
        <v>0.0</v>
      </c>
      <c r="W34" s="27">
        <v>0.0</v>
      </c>
      <c r="X34" s="27">
        <v>0.0</v>
      </c>
      <c r="Y34" s="27">
        <v>0.0</v>
      </c>
      <c r="Z34" s="25"/>
      <c r="AA34" s="25"/>
      <c r="AB34" s="25"/>
      <c r="AC34" s="27">
        <v>300.0</v>
      </c>
      <c r="AD34" s="25"/>
      <c r="AE34" s="27">
        <v>1.0</v>
      </c>
    </row>
    <row r="35">
      <c r="A35" s="33" t="s">
        <v>163</v>
      </c>
      <c r="B35" s="34"/>
      <c r="C35" s="35"/>
      <c r="D35" s="34" t="s">
        <v>63</v>
      </c>
      <c r="E35" s="35" t="s">
        <v>5</v>
      </c>
      <c r="F35" s="35" t="s">
        <v>64</v>
      </c>
      <c r="G35" s="36" t="s">
        <v>164</v>
      </c>
      <c r="H35" s="36" t="s">
        <v>164</v>
      </c>
      <c r="I35" s="37">
        <v>12.174</v>
      </c>
      <c r="J35" s="37">
        <v>19.04239</v>
      </c>
      <c r="K35" s="37">
        <v>72.86067</v>
      </c>
      <c r="L35" s="35" t="s">
        <v>102</v>
      </c>
      <c r="M35" s="35"/>
      <c r="N35" s="35" t="s">
        <v>119</v>
      </c>
      <c r="O35" s="35" t="s">
        <v>68</v>
      </c>
      <c r="P35" s="35"/>
      <c r="Q35" s="37">
        <v>0.0</v>
      </c>
      <c r="R35" s="37">
        <v>1.0</v>
      </c>
      <c r="S35" s="37">
        <v>0.0</v>
      </c>
      <c r="T35" s="37">
        <v>0.0</v>
      </c>
      <c r="U35" s="37">
        <v>0.0</v>
      </c>
      <c r="V35" s="37">
        <v>0.0</v>
      </c>
      <c r="W35" s="37">
        <v>0.0</v>
      </c>
      <c r="X35" s="37">
        <v>0.0</v>
      </c>
      <c r="Y35" s="37">
        <v>0.0</v>
      </c>
      <c r="Z35" s="35"/>
      <c r="AA35" s="35"/>
      <c r="AB35" s="35"/>
      <c r="AC35" s="37">
        <v>200.0</v>
      </c>
      <c r="AD35" s="35"/>
      <c r="AE35" s="37">
        <v>1.0</v>
      </c>
    </row>
    <row r="36">
      <c r="A36" s="19" t="s">
        <v>165</v>
      </c>
      <c r="B36" s="20"/>
      <c r="C36" s="2"/>
      <c r="D36" s="20" t="s">
        <v>63</v>
      </c>
      <c r="E36" s="2" t="s">
        <v>5</v>
      </c>
      <c r="F36" s="2" t="s">
        <v>64</v>
      </c>
      <c r="G36" s="21" t="s">
        <v>166</v>
      </c>
      <c r="H36" s="21" t="s">
        <v>166</v>
      </c>
      <c r="I36" s="22">
        <v>12.595</v>
      </c>
      <c r="J36" s="22">
        <v>19.04598</v>
      </c>
      <c r="K36" s="22">
        <v>72.86303</v>
      </c>
      <c r="L36" s="2" t="s">
        <v>102</v>
      </c>
      <c r="M36" s="2"/>
      <c r="N36" s="2" t="s">
        <v>67</v>
      </c>
      <c r="O36" s="2" t="s">
        <v>68</v>
      </c>
      <c r="P36" s="2"/>
      <c r="Q36" s="22">
        <v>0.0</v>
      </c>
      <c r="R36" s="22">
        <v>0.0</v>
      </c>
      <c r="S36" s="22">
        <v>1.0</v>
      </c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"/>
      <c r="AA36" s="2"/>
      <c r="AB36" s="2"/>
      <c r="AC36" s="22">
        <v>200.0</v>
      </c>
      <c r="AD36" s="2"/>
      <c r="AE36" s="22">
        <v>1.0</v>
      </c>
    </row>
    <row r="37">
      <c r="A37" s="19" t="s">
        <v>167</v>
      </c>
      <c r="B37" s="20" t="s">
        <v>168</v>
      </c>
      <c r="C37" s="2" t="s">
        <v>168</v>
      </c>
      <c r="D37" s="20" t="s">
        <v>63</v>
      </c>
      <c r="E37" s="2" t="s">
        <v>5</v>
      </c>
      <c r="F37" s="2" t="s">
        <v>64</v>
      </c>
      <c r="G37" s="21" t="s">
        <v>169</v>
      </c>
      <c r="H37" s="2" t="s">
        <v>170</v>
      </c>
      <c r="I37" s="22">
        <v>12.999</v>
      </c>
      <c r="J37" s="22">
        <v>19.04855</v>
      </c>
      <c r="K37" s="22">
        <v>72.8648</v>
      </c>
      <c r="L37" s="2" t="s">
        <v>102</v>
      </c>
      <c r="M37" s="2"/>
      <c r="N37" s="2" t="s">
        <v>67</v>
      </c>
      <c r="O37" s="2" t="s">
        <v>68</v>
      </c>
      <c r="P37" s="2"/>
      <c r="Q37" s="22">
        <v>0.0</v>
      </c>
      <c r="R37" s="22">
        <v>0.0</v>
      </c>
      <c r="S37" s="22">
        <v>1.0</v>
      </c>
      <c r="T37" s="22">
        <v>0.0</v>
      </c>
      <c r="U37" s="22">
        <v>0.0</v>
      </c>
      <c r="V37" s="22">
        <v>0.0</v>
      </c>
      <c r="W37" s="22">
        <v>0.0</v>
      </c>
      <c r="X37" s="22">
        <v>0.0</v>
      </c>
      <c r="Y37" s="22">
        <v>0.0</v>
      </c>
      <c r="Z37" s="2"/>
      <c r="AA37" s="2"/>
      <c r="AB37" s="2"/>
      <c r="AC37" s="22">
        <v>250.0</v>
      </c>
      <c r="AD37" s="2"/>
      <c r="AE37" s="22">
        <v>1.0</v>
      </c>
    </row>
    <row r="38">
      <c r="A38" s="33" t="s">
        <v>171</v>
      </c>
      <c r="B38" s="34" t="s">
        <v>172</v>
      </c>
      <c r="C38" s="35" t="s">
        <v>173</v>
      </c>
      <c r="D38" s="34" t="s">
        <v>63</v>
      </c>
      <c r="E38" s="35" t="s">
        <v>5</v>
      </c>
      <c r="F38" s="35" t="s">
        <v>64</v>
      </c>
      <c r="G38" s="36" t="s">
        <v>174</v>
      </c>
      <c r="H38" s="36" t="s">
        <v>174</v>
      </c>
      <c r="I38" s="37">
        <v>13.793</v>
      </c>
      <c r="J38" s="37">
        <v>19.05477</v>
      </c>
      <c r="K38" s="37">
        <v>72.8692</v>
      </c>
      <c r="L38" s="35" t="s">
        <v>66</v>
      </c>
      <c r="M38" s="35"/>
      <c r="N38" s="35" t="s">
        <v>119</v>
      </c>
      <c r="O38" s="35" t="s">
        <v>68</v>
      </c>
      <c r="P38" s="35"/>
      <c r="Q38" s="37">
        <v>0.0</v>
      </c>
      <c r="R38" s="37">
        <v>1.0</v>
      </c>
      <c r="S38" s="37">
        <v>0.0</v>
      </c>
      <c r="T38" s="37">
        <v>0.0</v>
      </c>
      <c r="U38" s="37">
        <v>0.0</v>
      </c>
      <c r="V38" s="37">
        <v>1.0</v>
      </c>
      <c r="W38" s="37">
        <v>0.0</v>
      </c>
      <c r="X38" s="37">
        <v>0.0</v>
      </c>
      <c r="Y38" s="37">
        <v>1.0</v>
      </c>
      <c r="Z38" s="35" t="s">
        <v>175</v>
      </c>
      <c r="AA38" s="35" t="s">
        <v>97</v>
      </c>
      <c r="AB38" s="35"/>
      <c r="AC38" s="37">
        <v>350.0</v>
      </c>
      <c r="AD38" s="35"/>
      <c r="AE38" s="37">
        <v>1.0</v>
      </c>
    </row>
    <row r="39">
      <c r="A39" s="19" t="s">
        <v>176</v>
      </c>
      <c r="B39" s="20"/>
      <c r="C39" s="2"/>
      <c r="D39" s="20" t="s">
        <v>63</v>
      </c>
      <c r="E39" s="2" t="s">
        <v>5</v>
      </c>
      <c r="F39" s="2" t="s">
        <v>64</v>
      </c>
      <c r="G39" s="21" t="s">
        <v>177</v>
      </c>
      <c r="H39" s="21" t="s">
        <v>177</v>
      </c>
      <c r="I39" s="22">
        <v>14.478</v>
      </c>
      <c r="J39" s="22">
        <v>19.05979</v>
      </c>
      <c r="K39" s="22">
        <v>72.87273</v>
      </c>
      <c r="L39" s="2" t="s">
        <v>102</v>
      </c>
      <c r="M39" s="2"/>
      <c r="N39" s="2" t="s">
        <v>178</v>
      </c>
      <c r="O39" s="2" t="s">
        <v>68</v>
      </c>
      <c r="P39" s="2"/>
      <c r="Q39" s="22">
        <v>0.0</v>
      </c>
      <c r="R39" s="22">
        <v>0.0</v>
      </c>
      <c r="S39" s="22">
        <v>0.0</v>
      </c>
      <c r="T39" s="22">
        <v>0.0</v>
      </c>
      <c r="U39" s="22">
        <v>0.0</v>
      </c>
      <c r="V39" s="22">
        <v>0.0</v>
      </c>
      <c r="W39" s="22">
        <v>0.0</v>
      </c>
      <c r="X39" s="22">
        <v>0.0</v>
      </c>
      <c r="Y39" s="22">
        <v>0.0</v>
      </c>
      <c r="Z39" s="2"/>
      <c r="AA39" s="2"/>
      <c r="AB39" s="2"/>
      <c r="AC39" s="22">
        <v>500.0</v>
      </c>
      <c r="AD39" s="2"/>
      <c r="AE39" s="22">
        <v>1.0</v>
      </c>
    </row>
    <row r="40">
      <c r="A40" s="23" t="s">
        <v>179</v>
      </c>
      <c r="B40" s="24"/>
      <c r="C40" s="25"/>
      <c r="D40" s="24" t="s">
        <v>63</v>
      </c>
      <c r="E40" s="25" t="s">
        <v>5</v>
      </c>
      <c r="F40" s="25" t="s">
        <v>64</v>
      </c>
      <c r="G40" s="26" t="s">
        <v>180</v>
      </c>
      <c r="H40" s="26" t="s">
        <v>180</v>
      </c>
      <c r="I40" s="27">
        <v>15.098</v>
      </c>
      <c r="J40" s="27">
        <v>19.06364</v>
      </c>
      <c r="K40" s="27">
        <v>72.87719</v>
      </c>
      <c r="L40" s="25" t="s">
        <v>102</v>
      </c>
      <c r="M40" s="25"/>
      <c r="N40" s="25" t="s">
        <v>81</v>
      </c>
      <c r="O40" s="25" t="s">
        <v>68</v>
      </c>
      <c r="P40" s="25"/>
      <c r="Q40" s="27">
        <v>1.0</v>
      </c>
      <c r="R40" s="27">
        <v>0.0</v>
      </c>
      <c r="S40" s="27">
        <v>0.0</v>
      </c>
      <c r="T40" s="27">
        <v>0.0</v>
      </c>
      <c r="U40" s="27">
        <v>0.0</v>
      </c>
      <c r="V40" s="27">
        <v>0.0</v>
      </c>
      <c r="W40" s="27">
        <v>0.0</v>
      </c>
      <c r="X40" s="27">
        <v>0.0</v>
      </c>
      <c r="Y40" s="27">
        <v>0.0</v>
      </c>
      <c r="Z40" s="25"/>
      <c r="AA40" s="25"/>
      <c r="AB40" s="25"/>
      <c r="AC40" s="27">
        <v>250.0</v>
      </c>
      <c r="AD40" s="25"/>
      <c r="AE40" s="27">
        <v>1.0</v>
      </c>
    </row>
    <row r="41">
      <c r="A41" s="23" t="s">
        <v>181</v>
      </c>
      <c r="B41" s="24" t="s">
        <v>172</v>
      </c>
      <c r="C41" s="25" t="s">
        <v>173</v>
      </c>
      <c r="D41" s="24" t="s">
        <v>63</v>
      </c>
      <c r="E41" s="25" t="s">
        <v>5</v>
      </c>
      <c r="F41" s="25" t="s">
        <v>64</v>
      </c>
      <c r="G41" s="26" t="s">
        <v>182</v>
      </c>
      <c r="H41" s="26" t="s">
        <v>182</v>
      </c>
      <c r="I41" s="27">
        <v>15.523</v>
      </c>
      <c r="J41" s="27">
        <v>19.06599</v>
      </c>
      <c r="K41" s="27">
        <v>72.88041</v>
      </c>
      <c r="L41" s="25" t="s">
        <v>66</v>
      </c>
      <c r="M41" s="25"/>
      <c r="N41" s="25" t="s">
        <v>81</v>
      </c>
      <c r="O41" s="25" t="s">
        <v>68</v>
      </c>
      <c r="P41" s="25"/>
      <c r="Q41" s="27">
        <v>1.0</v>
      </c>
      <c r="R41" s="27">
        <v>0.0</v>
      </c>
      <c r="S41" s="27">
        <v>0.0</v>
      </c>
      <c r="T41" s="27">
        <v>0.0</v>
      </c>
      <c r="U41" s="27">
        <v>0.0</v>
      </c>
      <c r="V41" s="27">
        <v>0.0</v>
      </c>
      <c r="W41" s="27">
        <v>0.0</v>
      </c>
      <c r="X41" s="27">
        <v>0.0</v>
      </c>
      <c r="Y41" s="27">
        <v>0.0</v>
      </c>
      <c r="Z41" s="25"/>
      <c r="AA41" s="25"/>
      <c r="AB41" s="25"/>
      <c r="AC41" s="27">
        <v>200.0</v>
      </c>
      <c r="AD41" s="25"/>
      <c r="AE41" s="27">
        <v>1.0</v>
      </c>
    </row>
    <row r="42">
      <c r="A42" s="19" t="s">
        <v>183</v>
      </c>
      <c r="B42" s="20"/>
      <c r="C42" s="2"/>
      <c r="D42" s="20" t="s">
        <v>63</v>
      </c>
      <c r="E42" s="2" t="s">
        <v>5</v>
      </c>
      <c r="F42" s="2" t="s">
        <v>64</v>
      </c>
      <c r="G42" s="21" t="s">
        <v>184</v>
      </c>
      <c r="H42" s="21" t="s">
        <v>184</v>
      </c>
      <c r="I42" s="22">
        <v>16.007</v>
      </c>
      <c r="J42" s="22">
        <v>19.0689</v>
      </c>
      <c r="K42" s="22">
        <v>72.88382</v>
      </c>
      <c r="L42" s="2" t="s">
        <v>102</v>
      </c>
      <c r="M42" s="2"/>
      <c r="N42" s="2" t="s">
        <v>67</v>
      </c>
      <c r="O42" s="2" t="s">
        <v>68</v>
      </c>
      <c r="P42" s="2"/>
      <c r="Q42" s="22">
        <v>0.0</v>
      </c>
      <c r="R42" s="22">
        <v>0.0</v>
      </c>
      <c r="S42" s="22">
        <v>1.0</v>
      </c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"/>
      <c r="AA42" s="2"/>
      <c r="AB42" s="2"/>
      <c r="AC42" s="22">
        <v>200.0</v>
      </c>
      <c r="AD42" s="2"/>
      <c r="AE42" s="22">
        <v>1.0</v>
      </c>
    </row>
    <row r="43">
      <c r="A43" s="19" t="s">
        <v>185</v>
      </c>
      <c r="B43" s="20"/>
      <c r="C43" s="2"/>
      <c r="D43" s="20" t="s">
        <v>63</v>
      </c>
      <c r="E43" s="2" t="s">
        <v>5</v>
      </c>
      <c r="F43" s="2" t="s">
        <v>64</v>
      </c>
      <c r="G43" s="21" t="s">
        <v>186</v>
      </c>
      <c r="H43" s="21" t="s">
        <v>186</v>
      </c>
      <c r="I43" s="22">
        <v>16.595</v>
      </c>
      <c r="J43" s="22">
        <v>19.07233</v>
      </c>
      <c r="K43" s="22">
        <v>72.88825</v>
      </c>
      <c r="L43" s="2" t="s">
        <v>102</v>
      </c>
      <c r="M43" s="2"/>
      <c r="N43" s="2" t="s">
        <v>67</v>
      </c>
      <c r="O43" s="2" t="s">
        <v>68</v>
      </c>
      <c r="P43" s="2"/>
      <c r="Q43" s="22">
        <v>0.0</v>
      </c>
      <c r="R43" s="22">
        <v>0.0</v>
      </c>
      <c r="S43" s="22">
        <v>1.0</v>
      </c>
      <c r="T43" s="22">
        <v>0.0</v>
      </c>
      <c r="U43" s="22">
        <v>0.0</v>
      </c>
      <c r="V43" s="22">
        <v>0.0</v>
      </c>
      <c r="W43" s="22">
        <v>0.0</v>
      </c>
      <c r="X43" s="22">
        <v>0.0</v>
      </c>
      <c r="Y43" s="22">
        <v>0.0</v>
      </c>
      <c r="Z43" s="2"/>
      <c r="AA43" s="2"/>
      <c r="AB43" s="2"/>
      <c r="AC43" s="22">
        <v>300.0</v>
      </c>
      <c r="AD43" s="2"/>
      <c r="AE43" s="22">
        <v>1.0</v>
      </c>
    </row>
    <row r="44">
      <c r="A44" s="33" t="s">
        <v>187</v>
      </c>
      <c r="B44" s="34"/>
      <c r="C44" s="35"/>
      <c r="D44" s="34" t="s">
        <v>63</v>
      </c>
      <c r="E44" s="35" t="s">
        <v>5</v>
      </c>
      <c r="F44" s="35" t="s">
        <v>64</v>
      </c>
      <c r="G44" s="36" t="s">
        <v>188</v>
      </c>
      <c r="H44" s="36" t="s">
        <v>188</v>
      </c>
      <c r="I44" s="37">
        <v>17.075</v>
      </c>
      <c r="J44" s="37">
        <v>19.07478</v>
      </c>
      <c r="K44" s="37">
        <v>72.89158</v>
      </c>
      <c r="L44" s="35" t="s">
        <v>102</v>
      </c>
      <c r="M44" s="35"/>
      <c r="N44" s="35" t="s">
        <v>119</v>
      </c>
      <c r="O44" s="35" t="s">
        <v>68</v>
      </c>
      <c r="P44" s="35"/>
      <c r="Q44" s="37">
        <v>0.0</v>
      </c>
      <c r="R44" s="37">
        <v>1.0</v>
      </c>
      <c r="S44" s="37">
        <v>0.0</v>
      </c>
      <c r="T44" s="37">
        <v>0.0</v>
      </c>
      <c r="U44" s="37">
        <v>0.0</v>
      </c>
      <c r="V44" s="37">
        <v>0.0</v>
      </c>
      <c r="W44" s="37">
        <v>0.0</v>
      </c>
      <c r="X44" s="37">
        <v>0.0</v>
      </c>
      <c r="Y44" s="37">
        <v>0.0</v>
      </c>
      <c r="Z44" s="35"/>
      <c r="AA44" s="35"/>
      <c r="AB44" s="35"/>
      <c r="AC44" s="37">
        <v>200.0</v>
      </c>
      <c r="AD44" s="35"/>
      <c r="AE44" s="37">
        <v>1.0</v>
      </c>
    </row>
    <row r="45">
      <c r="A45" s="33" t="s">
        <v>189</v>
      </c>
      <c r="B45" s="34"/>
      <c r="C45" s="35"/>
      <c r="D45" s="34" t="s">
        <v>63</v>
      </c>
      <c r="E45" s="35" t="s">
        <v>5</v>
      </c>
      <c r="F45" s="35" t="s">
        <v>64</v>
      </c>
      <c r="G45" s="36" t="s">
        <v>190</v>
      </c>
      <c r="H45" s="36" t="s">
        <v>190</v>
      </c>
      <c r="I45" s="37">
        <v>17.525</v>
      </c>
      <c r="J45" s="37">
        <v>19.07737</v>
      </c>
      <c r="K45" s="37">
        <v>72.89489</v>
      </c>
      <c r="L45" s="35" t="s">
        <v>66</v>
      </c>
      <c r="M45" s="35"/>
      <c r="N45" s="35" t="s">
        <v>119</v>
      </c>
      <c r="O45" s="35" t="s">
        <v>68</v>
      </c>
      <c r="P45" s="35"/>
      <c r="Q45" s="37">
        <v>0.0</v>
      </c>
      <c r="R45" s="37">
        <v>1.0</v>
      </c>
      <c r="S45" s="37">
        <v>0.0</v>
      </c>
      <c r="T45" s="37">
        <v>0.0</v>
      </c>
      <c r="U45" s="37">
        <v>1.0</v>
      </c>
      <c r="V45" s="37">
        <v>1.0</v>
      </c>
      <c r="W45" s="37">
        <v>0.0</v>
      </c>
      <c r="X45" s="37">
        <v>0.0</v>
      </c>
      <c r="Y45" s="37">
        <v>1.0</v>
      </c>
      <c r="Z45" s="35" t="s">
        <v>191</v>
      </c>
      <c r="AA45" s="35" t="s">
        <v>97</v>
      </c>
      <c r="AB45" s="35"/>
      <c r="AC45" s="37">
        <v>250.0</v>
      </c>
      <c r="AD45" s="35"/>
      <c r="AE45" s="37">
        <v>1.0</v>
      </c>
    </row>
    <row r="46">
      <c r="A46" s="33" t="s">
        <v>192</v>
      </c>
      <c r="B46" s="34"/>
      <c r="C46" s="35"/>
      <c r="D46" s="34" t="s">
        <v>63</v>
      </c>
      <c r="E46" s="35" t="s">
        <v>5</v>
      </c>
      <c r="F46" s="35" t="s">
        <v>64</v>
      </c>
      <c r="G46" s="36" t="s">
        <v>193</v>
      </c>
      <c r="H46" s="36" t="s">
        <v>193</v>
      </c>
      <c r="I46" s="37">
        <v>17.955</v>
      </c>
      <c r="J46" s="37">
        <v>19.07972</v>
      </c>
      <c r="K46" s="37">
        <v>72.89791</v>
      </c>
      <c r="L46" s="35" t="s">
        <v>66</v>
      </c>
      <c r="M46" s="35"/>
      <c r="N46" s="35" t="s">
        <v>119</v>
      </c>
      <c r="O46" s="35" t="s">
        <v>68</v>
      </c>
      <c r="P46" s="35"/>
      <c r="Q46" s="37">
        <v>0.0</v>
      </c>
      <c r="R46" s="37">
        <v>1.0</v>
      </c>
      <c r="S46" s="37">
        <v>0.0</v>
      </c>
      <c r="T46" s="37">
        <v>0.0</v>
      </c>
      <c r="U46" s="37">
        <v>0.0</v>
      </c>
      <c r="V46" s="37">
        <v>1.0</v>
      </c>
      <c r="W46" s="37">
        <v>0.0</v>
      </c>
      <c r="X46" s="37">
        <v>1.0</v>
      </c>
      <c r="Y46" s="37">
        <v>0.0</v>
      </c>
      <c r="Z46" s="35" t="s">
        <v>194</v>
      </c>
      <c r="AA46" s="35" t="s">
        <v>115</v>
      </c>
      <c r="AB46" s="35"/>
      <c r="AC46" s="37">
        <v>250.0</v>
      </c>
      <c r="AD46" s="35"/>
      <c r="AE46" s="37">
        <v>1.0</v>
      </c>
    </row>
    <row r="47">
      <c r="A47" s="33" t="s">
        <v>195</v>
      </c>
      <c r="B47" s="34"/>
      <c r="C47" s="35"/>
      <c r="D47" s="34" t="s">
        <v>63</v>
      </c>
      <c r="E47" s="35" t="s">
        <v>5</v>
      </c>
      <c r="F47" s="35" t="s">
        <v>64</v>
      </c>
      <c r="G47" s="36" t="s">
        <v>196</v>
      </c>
      <c r="H47" s="36" t="s">
        <v>196</v>
      </c>
      <c r="I47" s="37">
        <v>18.48</v>
      </c>
      <c r="J47" s="37">
        <v>19.08253</v>
      </c>
      <c r="K47" s="37">
        <v>72.90235</v>
      </c>
      <c r="L47" s="35" t="s">
        <v>66</v>
      </c>
      <c r="M47" s="35"/>
      <c r="N47" s="35" t="s">
        <v>119</v>
      </c>
      <c r="O47" s="35" t="s">
        <v>68</v>
      </c>
      <c r="P47" s="35"/>
      <c r="Q47" s="37">
        <v>0.0</v>
      </c>
      <c r="R47" s="37">
        <v>1.0</v>
      </c>
      <c r="S47" s="37">
        <v>0.0</v>
      </c>
      <c r="T47" s="37">
        <v>0.0</v>
      </c>
      <c r="U47" s="37">
        <v>0.0</v>
      </c>
      <c r="V47" s="37">
        <v>0.0</v>
      </c>
      <c r="W47" s="37">
        <v>1.0</v>
      </c>
      <c r="X47" s="37">
        <v>0.0</v>
      </c>
      <c r="Y47" s="37">
        <v>0.0</v>
      </c>
      <c r="Z47" s="35"/>
      <c r="AA47" s="35"/>
      <c r="AB47" s="35"/>
      <c r="AC47" s="37">
        <v>200.0</v>
      </c>
      <c r="AD47" s="35"/>
      <c r="AE47" s="37">
        <v>1.0</v>
      </c>
    </row>
    <row r="48">
      <c r="A48" s="19" t="s">
        <v>197</v>
      </c>
      <c r="B48" s="20"/>
      <c r="C48" s="2"/>
      <c r="D48" s="20" t="s">
        <v>63</v>
      </c>
      <c r="E48" s="2" t="s">
        <v>5</v>
      </c>
      <c r="F48" s="2" t="s">
        <v>64</v>
      </c>
      <c r="G48" s="21" t="s">
        <v>198</v>
      </c>
      <c r="H48" s="21" t="s">
        <v>198</v>
      </c>
      <c r="I48" s="22">
        <v>18.885</v>
      </c>
      <c r="J48" s="22">
        <v>19.08425</v>
      </c>
      <c r="K48" s="22">
        <v>72.90576</v>
      </c>
      <c r="L48" s="2" t="s">
        <v>66</v>
      </c>
      <c r="M48" s="2"/>
      <c r="N48" s="2" t="s">
        <v>67</v>
      </c>
      <c r="O48" s="2" t="s">
        <v>68</v>
      </c>
      <c r="P48" s="2"/>
      <c r="Q48" s="22">
        <v>0.0</v>
      </c>
      <c r="R48" s="22">
        <v>0.0</v>
      </c>
      <c r="S48" s="22">
        <v>1.0</v>
      </c>
      <c r="T48" s="22">
        <v>0.0</v>
      </c>
      <c r="U48" s="22">
        <v>0.0</v>
      </c>
      <c r="V48" s="22">
        <v>0.0</v>
      </c>
      <c r="W48" s="22">
        <v>0.0</v>
      </c>
      <c r="X48" s="22">
        <v>0.0</v>
      </c>
      <c r="Y48" s="22">
        <v>0.0</v>
      </c>
      <c r="Z48" s="2"/>
      <c r="AA48" s="2"/>
      <c r="AB48" s="2"/>
      <c r="AC48" s="22">
        <v>200.0</v>
      </c>
      <c r="AD48" s="2"/>
      <c r="AE48" s="22">
        <v>1.0</v>
      </c>
    </row>
    <row r="49">
      <c r="A49" s="28" t="s">
        <v>199</v>
      </c>
      <c r="B49" s="20"/>
      <c r="C49" s="2"/>
      <c r="D49" s="20" t="s">
        <v>63</v>
      </c>
      <c r="E49" s="2" t="s">
        <v>5</v>
      </c>
      <c r="F49" s="2" t="s">
        <v>64</v>
      </c>
      <c r="G49" s="31" t="s">
        <v>200</v>
      </c>
      <c r="H49" s="31" t="s">
        <v>200</v>
      </c>
      <c r="I49" s="22"/>
      <c r="J49" s="22"/>
      <c r="K49" s="22"/>
      <c r="L49" s="30" t="s">
        <v>111</v>
      </c>
      <c r="M49" s="2"/>
      <c r="N49" s="30" t="s">
        <v>67</v>
      </c>
      <c r="O49" s="30" t="s">
        <v>68</v>
      </c>
      <c r="P49" s="2"/>
      <c r="Q49" s="32">
        <v>0.0</v>
      </c>
      <c r="R49" s="32">
        <v>0.0</v>
      </c>
      <c r="S49" s="32">
        <v>1.0</v>
      </c>
      <c r="T49" s="32">
        <v>0.0</v>
      </c>
      <c r="U49" s="32">
        <v>0.0</v>
      </c>
      <c r="V49" s="32">
        <v>0.0</v>
      </c>
      <c r="W49" s="32">
        <v>0.0</v>
      </c>
      <c r="X49" s="32">
        <v>0.0</v>
      </c>
      <c r="Y49" s="32">
        <v>0.0</v>
      </c>
      <c r="Z49" s="2"/>
      <c r="AA49" s="2"/>
      <c r="AB49" s="2"/>
      <c r="AC49" s="22"/>
      <c r="AD49" s="2"/>
      <c r="AE49" s="32">
        <v>1.0</v>
      </c>
    </row>
    <row r="50">
      <c r="A50" s="19" t="s">
        <v>201</v>
      </c>
      <c r="B50" s="20"/>
      <c r="C50" s="2"/>
      <c r="D50" s="20" t="s">
        <v>63</v>
      </c>
      <c r="E50" s="2" t="s">
        <v>5</v>
      </c>
      <c r="F50" s="2" t="s">
        <v>64</v>
      </c>
      <c r="G50" s="21" t="s">
        <v>202</v>
      </c>
      <c r="H50" s="21" t="s">
        <v>202</v>
      </c>
      <c r="I50" s="22">
        <v>19.355</v>
      </c>
      <c r="J50" s="22">
        <v>19.08648</v>
      </c>
      <c r="K50" s="22">
        <v>72.90952</v>
      </c>
      <c r="L50" s="2" t="s">
        <v>102</v>
      </c>
      <c r="M50" s="2"/>
      <c r="N50" s="2" t="s">
        <v>67</v>
      </c>
      <c r="O50" s="2" t="s">
        <v>68</v>
      </c>
      <c r="P50" s="2"/>
      <c r="Q50" s="22">
        <v>0.0</v>
      </c>
      <c r="R50" s="22">
        <v>0.0</v>
      </c>
      <c r="S50" s="22">
        <v>1.0</v>
      </c>
      <c r="T50" s="22">
        <v>0.0</v>
      </c>
      <c r="U50" s="22">
        <v>0.0</v>
      </c>
      <c r="V50" s="22">
        <v>0.0</v>
      </c>
      <c r="W50" s="22">
        <v>0.0</v>
      </c>
      <c r="X50" s="22">
        <v>0.0</v>
      </c>
      <c r="Y50" s="22">
        <v>0.0</v>
      </c>
      <c r="Z50" s="2"/>
      <c r="AA50" s="2"/>
      <c r="AB50" s="2"/>
      <c r="AC50" s="22">
        <v>200.0</v>
      </c>
      <c r="AD50" s="2" t="s">
        <v>203</v>
      </c>
      <c r="AE50" s="22">
        <v>1.0</v>
      </c>
    </row>
    <row r="51">
      <c r="A51" s="33" t="s">
        <v>204</v>
      </c>
      <c r="B51" s="34"/>
      <c r="C51" s="35"/>
      <c r="D51" s="34" t="s">
        <v>63</v>
      </c>
      <c r="E51" s="35" t="s">
        <v>5</v>
      </c>
      <c r="F51" s="35" t="s">
        <v>64</v>
      </c>
      <c r="G51" s="36" t="s">
        <v>205</v>
      </c>
      <c r="H51" s="36" t="s">
        <v>205</v>
      </c>
      <c r="I51" s="37">
        <v>20.039</v>
      </c>
      <c r="J51" s="37">
        <v>19.09045</v>
      </c>
      <c r="K51" s="37">
        <v>72.91448</v>
      </c>
      <c r="L51" s="35" t="s">
        <v>102</v>
      </c>
      <c r="M51" s="35"/>
      <c r="N51" s="35" t="s">
        <v>119</v>
      </c>
      <c r="O51" s="35" t="s">
        <v>68</v>
      </c>
      <c r="P51" s="35"/>
      <c r="Q51" s="37">
        <v>0.0</v>
      </c>
      <c r="R51" s="37">
        <v>1.0</v>
      </c>
      <c r="S51" s="37">
        <v>0.0</v>
      </c>
      <c r="T51" s="37">
        <v>0.0</v>
      </c>
      <c r="U51" s="37">
        <v>0.0</v>
      </c>
      <c r="V51" s="37">
        <v>0.0</v>
      </c>
      <c r="W51" s="37">
        <v>0.0</v>
      </c>
      <c r="X51" s="37">
        <v>0.0</v>
      </c>
      <c r="Y51" s="37">
        <v>0.0</v>
      </c>
      <c r="Z51" s="35"/>
      <c r="AA51" s="35"/>
      <c r="AB51" s="35"/>
      <c r="AC51" s="37">
        <v>200.0</v>
      </c>
      <c r="AD51" s="35"/>
      <c r="AE51" s="37">
        <v>1.0</v>
      </c>
    </row>
    <row r="52">
      <c r="A52" s="33" t="s">
        <v>206</v>
      </c>
      <c r="B52" s="34"/>
      <c r="C52" s="35"/>
      <c r="D52" s="34" t="s">
        <v>63</v>
      </c>
      <c r="E52" s="35" t="s">
        <v>5</v>
      </c>
      <c r="F52" s="35" t="s">
        <v>64</v>
      </c>
      <c r="G52" s="36" t="s">
        <v>207</v>
      </c>
      <c r="H52" s="36" t="s">
        <v>207</v>
      </c>
      <c r="I52" s="37">
        <v>20.504</v>
      </c>
      <c r="J52" s="37">
        <v>19.09355</v>
      </c>
      <c r="K52" s="37">
        <v>72.91748</v>
      </c>
      <c r="L52" s="35" t="s">
        <v>102</v>
      </c>
      <c r="M52" s="35"/>
      <c r="N52" s="35" t="s">
        <v>119</v>
      </c>
      <c r="O52" s="35" t="s">
        <v>68</v>
      </c>
      <c r="P52" s="35"/>
      <c r="Q52" s="37">
        <v>0.0</v>
      </c>
      <c r="R52" s="37">
        <v>1.0</v>
      </c>
      <c r="S52" s="37">
        <v>0.0</v>
      </c>
      <c r="T52" s="37">
        <v>0.0</v>
      </c>
      <c r="U52" s="37">
        <v>0.0</v>
      </c>
      <c r="V52" s="37">
        <v>0.0</v>
      </c>
      <c r="W52" s="37">
        <v>0.0</v>
      </c>
      <c r="X52" s="37">
        <v>0.0</v>
      </c>
      <c r="Y52" s="37">
        <v>0.0</v>
      </c>
      <c r="Z52" s="35"/>
      <c r="AA52" s="35"/>
      <c r="AB52" s="35"/>
      <c r="AC52" s="37">
        <v>200.0</v>
      </c>
      <c r="AD52" s="35"/>
      <c r="AE52" s="37">
        <v>1.0</v>
      </c>
    </row>
    <row r="53">
      <c r="A53" s="33" t="s">
        <v>208</v>
      </c>
      <c r="B53" s="34"/>
      <c r="C53" s="35"/>
      <c r="D53" s="34" t="s">
        <v>63</v>
      </c>
      <c r="E53" s="35" t="s">
        <v>5</v>
      </c>
      <c r="F53" s="35" t="s">
        <v>64</v>
      </c>
      <c r="G53" s="36" t="s">
        <v>209</v>
      </c>
      <c r="H53" s="36" t="s">
        <v>209</v>
      </c>
      <c r="I53" s="37">
        <v>21.041</v>
      </c>
      <c r="J53" s="37">
        <v>19.0972</v>
      </c>
      <c r="K53" s="37">
        <v>72.92102</v>
      </c>
      <c r="L53" s="35" t="s">
        <v>102</v>
      </c>
      <c r="M53" s="35"/>
      <c r="N53" s="35" t="s">
        <v>119</v>
      </c>
      <c r="O53" s="35" t="s">
        <v>68</v>
      </c>
      <c r="P53" s="35"/>
      <c r="Q53" s="37">
        <v>0.0</v>
      </c>
      <c r="R53" s="37">
        <v>1.0</v>
      </c>
      <c r="S53" s="37">
        <v>0.0</v>
      </c>
      <c r="T53" s="37">
        <v>0.0</v>
      </c>
      <c r="U53" s="37">
        <v>0.0</v>
      </c>
      <c r="V53" s="37">
        <v>0.0</v>
      </c>
      <c r="W53" s="37">
        <v>0.0</v>
      </c>
      <c r="X53" s="37">
        <v>0.0</v>
      </c>
      <c r="Y53" s="37">
        <v>0.0</v>
      </c>
      <c r="Z53" s="35"/>
      <c r="AA53" s="35"/>
      <c r="AB53" s="35"/>
      <c r="AC53" s="37">
        <v>200.0</v>
      </c>
      <c r="AD53" s="35"/>
      <c r="AE53" s="37">
        <v>1.0</v>
      </c>
    </row>
    <row r="54">
      <c r="A54" s="33" t="s">
        <v>210</v>
      </c>
      <c r="B54" s="34"/>
      <c r="C54" s="35"/>
      <c r="D54" s="34" t="s">
        <v>63</v>
      </c>
      <c r="E54" s="35" t="s">
        <v>5</v>
      </c>
      <c r="F54" s="35" t="s">
        <v>64</v>
      </c>
      <c r="G54" s="36" t="s">
        <v>211</v>
      </c>
      <c r="H54" s="36" t="s">
        <v>211</v>
      </c>
      <c r="I54" s="37">
        <v>21.441</v>
      </c>
      <c r="J54" s="37">
        <v>19.09983</v>
      </c>
      <c r="K54" s="37">
        <v>72.9235</v>
      </c>
      <c r="L54" s="35" t="s">
        <v>102</v>
      </c>
      <c r="M54" s="35"/>
      <c r="N54" s="35" t="s">
        <v>119</v>
      </c>
      <c r="O54" s="35" t="s">
        <v>68</v>
      </c>
      <c r="P54" s="35"/>
      <c r="Q54" s="37">
        <v>0.0</v>
      </c>
      <c r="R54" s="37">
        <v>1.0</v>
      </c>
      <c r="S54" s="37">
        <v>0.0</v>
      </c>
      <c r="T54" s="37">
        <v>0.0</v>
      </c>
      <c r="U54" s="37">
        <v>0.0</v>
      </c>
      <c r="V54" s="37">
        <v>0.0</v>
      </c>
      <c r="W54" s="37">
        <v>0.0</v>
      </c>
      <c r="X54" s="37">
        <v>0.0</v>
      </c>
      <c r="Y54" s="37">
        <v>0.0</v>
      </c>
      <c r="Z54" s="35"/>
      <c r="AA54" s="35"/>
      <c r="AB54" s="35"/>
      <c r="AC54" s="37">
        <v>250.0</v>
      </c>
      <c r="AD54" s="35"/>
      <c r="AE54" s="37">
        <v>1.0</v>
      </c>
    </row>
    <row r="55">
      <c r="A55" s="33" t="s">
        <v>212</v>
      </c>
      <c r="B55" s="34"/>
      <c r="C55" s="35"/>
      <c r="D55" s="34" t="s">
        <v>63</v>
      </c>
      <c r="E55" s="35" t="s">
        <v>5</v>
      </c>
      <c r="F55" s="35" t="s">
        <v>64</v>
      </c>
      <c r="G55" s="36" t="s">
        <v>213</v>
      </c>
      <c r="H55" s="36" t="s">
        <v>213</v>
      </c>
      <c r="I55" s="37">
        <v>21.841</v>
      </c>
      <c r="J55" s="37">
        <v>19.1029</v>
      </c>
      <c r="K55" s="37">
        <v>72.92569</v>
      </c>
      <c r="L55" s="35" t="s">
        <v>102</v>
      </c>
      <c r="M55" s="35"/>
      <c r="N55" s="35" t="s">
        <v>119</v>
      </c>
      <c r="O55" s="35" t="s">
        <v>68</v>
      </c>
      <c r="P55" s="35"/>
      <c r="Q55" s="37">
        <v>0.0</v>
      </c>
      <c r="R55" s="37">
        <v>1.0</v>
      </c>
      <c r="S55" s="37">
        <v>0.0</v>
      </c>
      <c r="T55" s="37">
        <v>0.0</v>
      </c>
      <c r="U55" s="37">
        <v>0.0</v>
      </c>
      <c r="V55" s="37">
        <v>0.0</v>
      </c>
      <c r="W55" s="37">
        <v>0.0</v>
      </c>
      <c r="X55" s="37">
        <v>0.0</v>
      </c>
      <c r="Y55" s="37">
        <v>0.0</v>
      </c>
      <c r="Z55" s="35"/>
      <c r="AA55" s="35"/>
      <c r="AB55" s="35"/>
      <c r="AC55" s="37">
        <v>200.0</v>
      </c>
      <c r="AD55" s="35"/>
      <c r="AE55" s="37">
        <v>1.0</v>
      </c>
    </row>
    <row r="56">
      <c r="A56" s="33" t="s">
        <v>214</v>
      </c>
      <c r="B56" s="34" t="s">
        <v>215</v>
      </c>
      <c r="C56" s="35" t="s">
        <v>216</v>
      </c>
      <c r="D56" s="34" t="s">
        <v>63</v>
      </c>
      <c r="E56" s="35" t="s">
        <v>5</v>
      </c>
      <c r="F56" s="35" t="s">
        <v>64</v>
      </c>
      <c r="G56" s="36" t="s">
        <v>217</v>
      </c>
      <c r="H56" s="36" t="s">
        <v>217</v>
      </c>
      <c r="I56" s="37">
        <v>22.241</v>
      </c>
      <c r="J56" s="37">
        <v>19.10603</v>
      </c>
      <c r="K56" s="37">
        <v>72.92708</v>
      </c>
      <c r="L56" s="35" t="s">
        <v>66</v>
      </c>
      <c r="M56" s="35"/>
      <c r="N56" s="35" t="s">
        <v>119</v>
      </c>
      <c r="O56" s="35" t="s">
        <v>68</v>
      </c>
      <c r="P56" s="35"/>
      <c r="Q56" s="37">
        <v>0.0</v>
      </c>
      <c r="R56" s="37">
        <v>1.0</v>
      </c>
      <c r="S56" s="37">
        <v>0.0</v>
      </c>
      <c r="T56" s="37">
        <v>0.0</v>
      </c>
      <c r="U56" s="37">
        <v>0.0</v>
      </c>
      <c r="V56" s="37">
        <v>0.0</v>
      </c>
      <c r="W56" s="37">
        <v>0.0</v>
      </c>
      <c r="X56" s="37">
        <v>0.0</v>
      </c>
      <c r="Y56" s="37">
        <v>0.0</v>
      </c>
      <c r="Z56" s="35"/>
      <c r="AA56" s="35"/>
      <c r="AB56" s="35"/>
      <c r="AC56" s="37">
        <v>250.0</v>
      </c>
      <c r="AD56" s="35"/>
      <c r="AE56" s="37">
        <v>1.0</v>
      </c>
    </row>
    <row r="57">
      <c r="A57" s="28" t="s">
        <v>218</v>
      </c>
      <c r="B57" s="29" t="s">
        <v>215</v>
      </c>
      <c r="C57" s="30" t="s">
        <v>216</v>
      </c>
      <c r="D57" s="20" t="s">
        <v>63</v>
      </c>
      <c r="E57" s="2" t="s">
        <v>5</v>
      </c>
      <c r="F57" s="2" t="s">
        <v>64</v>
      </c>
      <c r="G57" s="31" t="s">
        <v>219</v>
      </c>
      <c r="H57" s="31" t="s">
        <v>219</v>
      </c>
      <c r="I57" s="22"/>
      <c r="J57" s="22"/>
      <c r="K57" s="22"/>
      <c r="L57" s="30" t="s">
        <v>111</v>
      </c>
      <c r="M57" s="2"/>
      <c r="N57" s="30" t="s">
        <v>67</v>
      </c>
      <c r="O57" s="30" t="s">
        <v>68</v>
      </c>
      <c r="P57" s="2"/>
      <c r="Q57" s="32">
        <v>0.0</v>
      </c>
      <c r="R57" s="32">
        <v>0.0</v>
      </c>
      <c r="S57" s="32">
        <v>1.0</v>
      </c>
      <c r="T57" s="32">
        <v>0.0</v>
      </c>
      <c r="U57" s="32">
        <v>0.0</v>
      </c>
      <c r="V57" s="32">
        <v>0.0</v>
      </c>
      <c r="W57" s="32">
        <v>0.0</v>
      </c>
      <c r="X57" s="32">
        <v>0.0</v>
      </c>
      <c r="Y57" s="32">
        <v>0.0</v>
      </c>
      <c r="Z57" s="2"/>
      <c r="AA57" s="2"/>
      <c r="AB57" s="2"/>
      <c r="AC57" s="22"/>
      <c r="AD57" s="2"/>
      <c r="AE57" s="32">
        <v>1.0</v>
      </c>
    </row>
    <row r="58">
      <c r="A58" s="19" t="s">
        <v>220</v>
      </c>
      <c r="B58" s="20" t="s">
        <v>215</v>
      </c>
      <c r="C58" s="2" t="s">
        <v>216</v>
      </c>
      <c r="D58" s="20" t="s">
        <v>63</v>
      </c>
      <c r="E58" s="2" t="s">
        <v>5</v>
      </c>
      <c r="F58" s="2" t="s">
        <v>64</v>
      </c>
      <c r="G58" s="21" t="s">
        <v>221</v>
      </c>
      <c r="H58" s="21" t="s">
        <v>222</v>
      </c>
      <c r="I58" s="22">
        <v>23.025</v>
      </c>
      <c r="J58" s="22">
        <v>19.11314</v>
      </c>
      <c r="K58" s="22">
        <v>72.92834</v>
      </c>
      <c r="L58" s="2" t="s">
        <v>66</v>
      </c>
      <c r="M58" s="2"/>
      <c r="N58" s="2" t="s">
        <v>67</v>
      </c>
      <c r="O58" s="2" t="s">
        <v>68</v>
      </c>
      <c r="P58" s="2"/>
      <c r="Q58" s="22">
        <v>0.0</v>
      </c>
      <c r="R58" s="22">
        <v>0.0</v>
      </c>
      <c r="S58" s="22">
        <v>1.0</v>
      </c>
      <c r="T58" s="22">
        <v>0.0</v>
      </c>
      <c r="U58" s="22">
        <v>0.0</v>
      </c>
      <c r="V58" s="22">
        <v>0.0</v>
      </c>
      <c r="W58" s="22">
        <v>0.0</v>
      </c>
      <c r="X58" s="22">
        <v>0.0</v>
      </c>
      <c r="Y58" s="22">
        <v>0.0</v>
      </c>
      <c r="Z58" s="2"/>
      <c r="AA58" s="2"/>
      <c r="AB58" s="2"/>
      <c r="AC58" s="22">
        <v>100.0</v>
      </c>
      <c r="AD58" s="2" t="s">
        <v>203</v>
      </c>
      <c r="AE58" s="22">
        <v>1.0</v>
      </c>
    </row>
    <row r="59">
      <c r="A59" s="33" t="s">
        <v>223</v>
      </c>
      <c r="B59" s="34"/>
      <c r="C59" s="35"/>
      <c r="D59" s="34" t="s">
        <v>63</v>
      </c>
      <c r="E59" s="35" t="s">
        <v>5</v>
      </c>
      <c r="F59" s="35" t="s">
        <v>64</v>
      </c>
      <c r="G59" s="36" t="s">
        <v>224</v>
      </c>
      <c r="H59" s="36" t="s">
        <v>224</v>
      </c>
      <c r="I59" s="37">
        <v>23.425</v>
      </c>
      <c r="J59" s="37">
        <v>19.11616</v>
      </c>
      <c r="K59" s="37">
        <v>72.92825</v>
      </c>
      <c r="L59" s="35" t="s">
        <v>102</v>
      </c>
      <c r="M59" s="35"/>
      <c r="N59" s="35" t="s">
        <v>119</v>
      </c>
      <c r="O59" s="35" t="s">
        <v>68</v>
      </c>
      <c r="P59" s="35"/>
      <c r="Q59" s="37">
        <v>0.0</v>
      </c>
      <c r="R59" s="37">
        <v>1.0</v>
      </c>
      <c r="S59" s="37">
        <v>0.0</v>
      </c>
      <c r="T59" s="37">
        <v>0.0</v>
      </c>
      <c r="U59" s="37">
        <v>0.0</v>
      </c>
      <c r="V59" s="37">
        <v>0.0</v>
      </c>
      <c r="W59" s="37">
        <v>0.0</v>
      </c>
      <c r="X59" s="37">
        <v>0.0</v>
      </c>
      <c r="Y59" s="37">
        <v>0.0</v>
      </c>
      <c r="Z59" s="35"/>
      <c r="AA59" s="35"/>
      <c r="AB59" s="35"/>
      <c r="AC59" s="37">
        <v>200.0</v>
      </c>
      <c r="AD59" s="35"/>
      <c r="AE59" s="37">
        <v>1.0</v>
      </c>
    </row>
    <row r="60">
      <c r="A60" s="33" t="s">
        <v>225</v>
      </c>
      <c r="B60" s="34"/>
      <c r="C60" s="35"/>
      <c r="D60" s="34" t="s">
        <v>63</v>
      </c>
      <c r="E60" s="35" t="s">
        <v>5</v>
      </c>
      <c r="F60" s="35" t="s">
        <v>64</v>
      </c>
      <c r="G60" s="36" t="s">
        <v>226</v>
      </c>
      <c r="H60" s="36" t="s">
        <v>226</v>
      </c>
      <c r="I60" s="37">
        <v>23.881</v>
      </c>
      <c r="J60" s="37">
        <v>19.12088</v>
      </c>
      <c r="K60" s="37">
        <v>72.92805</v>
      </c>
      <c r="L60" s="35" t="s">
        <v>102</v>
      </c>
      <c r="M60" s="35"/>
      <c r="N60" s="35" t="s">
        <v>119</v>
      </c>
      <c r="O60" s="35" t="s">
        <v>68</v>
      </c>
      <c r="P60" s="35"/>
      <c r="Q60" s="37">
        <v>0.0</v>
      </c>
      <c r="R60" s="37">
        <v>1.0</v>
      </c>
      <c r="S60" s="37">
        <v>0.0</v>
      </c>
      <c r="T60" s="37">
        <v>0.0</v>
      </c>
      <c r="U60" s="37">
        <v>0.0</v>
      </c>
      <c r="V60" s="37">
        <v>0.0</v>
      </c>
      <c r="W60" s="37">
        <v>0.0</v>
      </c>
      <c r="X60" s="37">
        <v>0.0</v>
      </c>
      <c r="Y60" s="37">
        <v>0.0</v>
      </c>
      <c r="Z60" s="35"/>
      <c r="AA60" s="35"/>
      <c r="AB60" s="35"/>
      <c r="AC60" s="37">
        <v>250.0</v>
      </c>
      <c r="AD60" s="35"/>
      <c r="AE60" s="37">
        <v>1.0</v>
      </c>
    </row>
    <row r="61">
      <c r="A61" s="19" t="s">
        <v>227</v>
      </c>
      <c r="B61" s="20"/>
      <c r="C61" s="2"/>
      <c r="D61" s="20" t="s">
        <v>63</v>
      </c>
      <c r="E61" s="2" t="s">
        <v>5</v>
      </c>
      <c r="F61" s="2" t="s">
        <v>64</v>
      </c>
      <c r="G61" s="21" t="s">
        <v>228</v>
      </c>
      <c r="H61" s="21" t="s">
        <v>228</v>
      </c>
      <c r="I61" s="22">
        <v>24.55</v>
      </c>
      <c r="J61" s="22">
        <v>19.12691</v>
      </c>
      <c r="K61" s="22">
        <v>72.92801</v>
      </c>
      <c r="L61" s="2" t="s">
        <v>102</v>
      </c>
      <c r="M61" s="2"/>
      <c r="N61" s="2" t="s">
        <v>67</v>
      </c>
      <c r="O61" s="2" t="s">
        <v>68</v>
      </c>
      <c r="P61" s="2"/>
      <c r="Q61" s="22">
        <v>0.0</v>
      </c>
      <c r="R61" s="22">
        <v>0.0</v>
      </c>
      <c r="S61" s="22">
        <v>1.0</v>
      </c>
      <c r="T61" s="22">
        <v>0.0</v>
      </c>
      <c r="U61" s="22">
        <v>0.0</v>
      </c>
      <c r="V61" s="22">
        <v>0.0</v>
      </c>
      <c r="W61" s="22">
        <v>0.0</v>
      </c>
      <c r="X61" s="22">
        <v>0.0</v>
      </c>
      <c r="Y61" s="22">
        <v>0.0</v>
      </c>
      <c r="Z61" s="2"/>
      <c r="AA61" s="2"/>
      <c r="AB61" s="2"/>
      <c r="AC61" s="22">
        <v>250.0</v>
      </c>
      <c r="AD61" s="2"/>
      <c r="AE61" s="22">
        <v>1.0</v>
      </c>
    </row>
    <row r="62">
      <c r="A62" s="19" t="s">
        <v>229</v>
      </c>
      <c r="B62" s="20"/>
      <c r="C62" s="2"/>
      <c r="D62" s="20" t="s">
        <v>63</v>
      </c>
      <c r="E62" s="2" t="s">
        <v>5</v>
      </c>
      <c r="F62" s="2" t="s">
        <v>64</v>
      </c>
      <c r="G62" s="21" t="s">
        <v>230</v>
      </c>
      <c r="H62" s="21" t="s">
        <v>230</v>
      </c>
      <c r="I62" s="22">
        <v>24.957</v>
      </c>
      <c r="J62" s="22">
        <v>19.13066</v>
      </c>
      <c r="K62" s="22">
        <v>72.92912</v>
      </c>
      <c r="L62" s="2" t="s">
        <v>102</v>
      </c>
      <c r="M62" s="2"/>
      <c r="N62" s="2" t="s">
        <v>67</v>
      </c>
      <c r="O62" s="2" t="s">
        <v>68</v>
      </c>
      <c r="P62" s="2"/>
      <c r="Q62" s="22">
        <v>0.0</v>
      </c>
      <c r="R62" s="22">
        <v>0.0</v>
      </c>
      <c r="S62" s="22">
        <v>1.0</v>
      </c>
      <c r="T62" s="22">
        <v>0.0</v>
      </c>
      <c r="U62" s="22">
        <v>0.0</v>
      </c>
      <c r="V62" s="22">
        <v>0.0</v>
      </c>
      <c r="W62" s="22">
        <v>0.0</v>
      </c>
      <c r="X62" s="22">
        <v>0.0</v>
      </c>
      <c r="Y62" s="22">
        <v>0.0</v>
      </c>
      <c r="Z62" s="2"/>
      <c r="AA62" s="2"/>
      <c r="AB62" s="2"/>
      <c r="AC62" s="22">
        <v>250.0</v>
      </c>
      <c r="AD62" s="2"/>
      <c r="AE62" s="22">
        <v>1.0</v>
      </c>
    </row>
    <row r="63">
      <c r="A63" s="19" t="s">
        <v>231</v>
      </c>
      <c r="B63" s="20"/>
      <c r="C63" s="2"/>
      <c r="D63" s="20" t="s">
        <v>63</v>
      </c>
      <c r="E63" s="2" t="s">
        <v>5</v>
      </c>
      <c r="F63" s="2" t="s">
        <v>64</v>
      </c>
      <c r="G63" s="21" t="s">
        <v>232</v>
      </c>
      <c r="H63" s="21" t="s">
        <v>232</v>
      </c>
      <c r="I63" s="22">
        <v>25.416</v>
      </c>
      <c r="J63" s="22">
        <v>19.13409</v>
      </c>
      <c r="K63" s="22">
        <v>72.9313</v>
      </c>
      <c r="L63" s="2" t="s">
        <v>102</v>
      </c>
      <c r="M63" s="2"/>
      <c r="N63" s="2" t="s">
        <v>67</v>
      </c>
      <c r="O63" s="2" t="s">
        <v>68</v>
      </c>
      <c r="P63" s="2"/>
      <c r="Q63" s="22">
        <v>0.0</v>
      </c>
      <c r="R63" s="22">
        <v>0.0</v>
      </c>
      <c r="S63" s="22">
        <v>1.0</v>
      </c>
      <c r="T63" s="22">
        <v>0.0</v>
      </c>
      <c r="U63" s="22">
        <v>0.0</v>
      </c>
      <c r="V63" s="22">
        <v>0.0</v>
      </c>
      <c r="W63" s="22">
        <v>0.0</v>
      </c>
      <c r="X63" s="22">
        <v>0.0</v>
      </c>
      <c r="Y63" s="22">
        <v>0.0</v>
      </c>
      <c r="Z63" s="2"/>
      <c r="AA63" s="2"/>
      <c r="AB63" s="2"/>
      <c r="AC63" s="22">
        <v>200.0</v>
      </c>
      <c r="AD63" s="2"/>
      <c r="AE63" s="22">
        <v>1.0</v>
      </c>
    </row>
    <row r="64">
      <c r="A64" s="19" t="s">
        <v>233</v>
      </c>
      <c r="B64" s="20"/>
      <c r="C64" s="2"/>
      <c r="D64" s="20" t="s">
        <v>63</v>
      </c>
      <c r="E64" s="2" t="s">
        <v>5</v>
      </c>
      <c r="F64" s="2" t="s">
        <v>64</v>
      </c>
      <c r="G64" s="21" t="s">
        <v>234</v>
      </c>
      <c r="H64" s="21" t="s">
        <v>234</v>
      </c>
      <c r="I64" s="22">
        <v>25.833</v>
      </c>
      <c r="J64" s="22">
        <v>19.13713</v>
      </c>
      <c r="K64" s="22">
        <v>72.93367</v>
      </c>
      <c r="L64" s="2" t="s">
        <v>102</v>
      </c>
      <c r="M64" s="2"/>
      <c r="N64" s="2" t="s">
        <v>67</v>
      </c>
      <c r="O64" s="2" t="s">
        <v>68</v>
      </c>
      <c r="P64" s="2"/>
      <c r="Q64" s="22">
        <v>0.0</v>
      </c>
      <c r="R64" s="22">
        <v>0.0</v>
      </c>
      <c r="S64" s="22">
        <v>1.0</v>
      </c>
      <c r="T64" s="22">
        <v>0.0</v>
      </c>
      <c r="U64" s="22">
        <v>0.0</v>
      </c>
      <c r="V64" s="22">
        <v>0.0</v>
      </c>
      <c r="W64" s="22">
        <v>0.0</v>
      </c>
      <c r="X64" s="22">
        <v>0.0</v>
      </c>
      <c r="Y64" s="22">
        <v>0.0</v>
      </c>
      <c r="Z64" s="2"/>
      <c r="AA64" s="2"/>
      <c r="AB64" s="2"/>
      <c r="AC64" s="22">
        <v>200.0</v>
      </c>
      <c r="AD64" s="2"/>
      <c r="AE64" s="22">
        <v>1.0</v>
      </c>
    </row>
    <row r="65">
      <c r="A65" s="19" t="s">
        <v>235</v>
      </c>
      <c r="B65" s="20" t="s">
        <v>236</v>
      </c>
      <c r="C65" s="2" t="s">
        <v>237</v>
      </c>
      <c r="D65" s="20" t="s">
        <v>63</v>
      </c>
      <c r="E65" s="2" t="s">
        <v>5</v>
      </c>
      <c r="F65" s="2" t="s">
        <v>64</v>
      </c>
      <c r="G65" s="21" t="s">
        <v>238</v>
      </c>
      <c r="H65" s="21" t="s">
        <v>238</v>
      </c>
      <c r="I65" s="22">
        <v>26.265</v>
      </c>
      <c r="J65" s="22">
        <v>19.14039</v>
      </c>
      <c r="K65" s="22">
        <v>72.93605</v>
      </c>
      <c r="L65" s="2" t="s">
        <v>66</v>
      </c>
      <c r="M65" s="2"/>
      <c r="N65" s="2" t="s">
        <v>67</v>
      </c>
      <c r="O65" s="2" t="s">
        <v>68</v>
      </c>
      <c r="P65" s="2"/>
      <c r="Q65" s="22">
        <v>0.0</v>
      </c>
      <c r="R65" s="22">
        <v>0.0</v>
      </c>
      <c r="S65" s="22">
        <v>1.0</v>
      </c>
      <c r="T65" s="22">
        <v>0.0</v>
      </c>
      <c r="U65" s="22">
        <v>0.0</v>
      </c>
      <c r="V65" s="22">
        <v>0.0</v>
      </c>
      <c r="W65" s="22">
        <v>0.0</v>
      </c>
      <c r="X65" s="22">
        <v>0.0</v>
      </c>
      <c r="Y65" s="22">
        <v>0.0</v>
      </c>
      <c r="Z65" s="2"/>
      <c r="AA65" s="2"/>
      <c r="AB65" s="2"/>
      <c r="AC65" s="22">
        <v>200.0</v>
      </c>
      <c r="AD65" s="2"/>
      <c r="AE65" s="22">
        <v>1.0</v>
      </c>
    </row>
    <row r="66">
      <c r="A66" s="19" t="s">
        <v>239</v>
      </c>
      <c r="B66" s="20" t="s">
        <v>236</v>
      </c>
      <c r="C66" s="2" t="s">
        <v>237</v>
      </c>
      <c r="D66" s="20" t="s">
        <v>63</v>
      </c>
      <c r="E66" s="2" t="s">
        <v>5</v>
      </c>
      <c r="F66" s="2" t="s">
        <v>64</v>
      </c>
      <c r="G66" s="21" t="s">
        <v>240</v>
      </c>
      <c r="H66" s="2" t="s">
        <v>241</v>
      </c>
      <c r="I66" s="22">
        <v>26.697</v>
      </c>
      <c r="J66" s="22">
        <v>19.14349</v>
      </c>
      <c r="K66" s="22">
        <v>72.93846</v>
      </c>
      <c r="L66" s="2" t="s">
        <v>66</v>
      </c>
      <c r="M66" s="2"/>
      <c r="N66" s="2" t="s">
        <v>67</v>
      </c>
      <c r="O66" s="2" t="s">
        <v>68</v>
      </c>
      <c r="P66" s="2"/>
      <c r="Q66" s="22">
        <v>0.0</v>
      </c>
      <c r="R66" s="22">
        <v>0.0</v>
      </c>
      <c r="S66" s="22">
        <v>1.0</v>
      </c>
      <c r="T66" s="22">
        <v>0.0</v>
      </c>
      <c r="U66" s="22">
        <v>0.0</v>
      </c>
      <c r="V66" s="22">
        <v>1.0</v>
      </c>
      <c r="W66" s="22">
        <v>0.0</v>
      </c>
      <c r="X66" s="22">
        <v>1.0</v>
      </c>
      <c r="Y66" s="22">
        <v>0.0</v>
      </c>
      <c r="Z66" s="2" t="s">
        <v>242</v>
      </c>
      <c r="AA66" s="2" t="s">
        <v>115</v>
      </c>
      <c r="AB66" s="2"/>
      <c r="AC66" s="22">
        <v>300.0</v>
      </c>
      <c r="AD66" s="2"/>
      <c r="AE66" s="22">
        <v>1.0</v>
      </c>
    </row>
    <row r="67">
      <c r="A67" s="33" t="s">
        <v>243</v>
      </c>
      <c r="B67" s="34" t="s">
        <v>236</v>
      </c>
      <c r="C67" s="35" t="s">
        <v>237</v>
      </c>
      <c r="D67" s="34" t="s">
        <v>63</v>
      </c>
      <c r="E67" s="35" t="s">
        <v>5</v>
      </c>
      <c r="F67" s="35" t="s">
        <v>64</v>
      </c>
      <c r="G67" s="36" t="s">
        <v>244</v>
      </c>
      <c r="H67" s="35" t="s">
        <v>244</v>
      </c>
      <c r="I67" s="37">
        <v>27.433</v>
      </c>
      <c r="J67" s="37">
        <v>19.14893</v>
      </c>
      <c r="K67" s="37">
        <v>72.94278</v>
      </c>
      <c r="L67" s="35" t="s">
        <v>66</v>
      </c>
      <c r="M67" s="35"/>
      <c r="N67" s="35" t="s">
        <v>119</v>
      </c>
      <c r="O67" s="35" t="s">
        <v>68</v>
      </c>
      <c r="P67" s="35"/>
      <c r="Q67" s="37">
        <v>0.0</v>
      </c>
      <c r="R67" s="37">
        <v>1.0</v>
      </c>
      <c r="S67" s="37">
        <v>0.0</v>
      </c>
      <c r="T67" s="37">
        <v>0.0</v>
      </c>
      <c r="U67" s="37">
        <v>0.0</v>
      </c>
      <c r="V67" s="37">
        <v>0.0</v>
      </c>
      <c r="W67" s="37">
        <v>0.0</v>
      </c>
      <c r="X67" s="37">
        <v>0.0</v>
      </c>
      <c r="Y67" s="37">
        <v>0.0</v>
      </c>
      <c r="Z67" s="35"/>
      <c r="AA67" s="35"/>
      <c r="AB67" s="35"/>
      <c r="AC67" s="37">
        <v>200.0</v>
      </c>
      <c r="AD67" s="35"/>
      <c r="AE67" s="37">
        <v>1.0</v>
      </c>
    </row>
    <row r="68">
      <c r="A68" s="19" t="s">
        <v>245</v>
      </c>
      <c r="B68" s="20"/>
      <c r="C68" s="2"/>
      <c r="D68" s="20" t="s">
        <v>63</v>
      </c>
      <c r="E68" s="2" t="s">
        <v>5</v>
      </c>
      <c r="F68" s="2" t="s">
        <v>64</v>
      </c>
      <c r="G68" s="21" t="s">
        <v>246</v>
      </c>
      <c r="H68" s="2" t="s">
        <v>246</v>
      </c>
      <c r="I68" s="22">
        <v>28.01</v>
      </c>
      <c r="J68" s="22">
        <v>19.15326</v>
      </c>
      <c r="K68" s="22">
        <v>72.946</v>
      </c>
      <c r="L68" s="2" t="s">
        <v>102</v>
      </c>
      <c r="M68" s="2"/>
      <c r="N68" s="2" t="s">
        <v>67</v>
      </c>
      <c r="O68" s="2" t="s">
        <v>68</v>
      </c>
      <c r="P68" s="2"/>
      <c r="Q68" s="22">
        <v>0.0</v>
      </c>
      <c r="R68" s="22">
        <v>0.0</v>
      </c>
      <c r="S68" s="22">
        <v>1.0</v>
      </c>
      <c r="T68" s="22">
        <v>0.0</v>
      </c>
      <c r="U68" s="22">
        <v>0.0</v>
      </c>
      <c r="V68" s="22">
        <v>0.0</v>
      </c>
      <c r="W68" s="22">
        <v>0.0</v>
      </c>
      <c r="X68" s="22">
        <v>0.0</v>
      </c>
      <c r="Y68" s="22">
        <v>0.0</v>
      </c>
      <c r="Z68" s="2"/>
      <c r="AA68" s="2"/>
      <c r="AB68" s="2"/>
      <c r="AC68" s="22">
        <v>250.0</v>
      </c>
      <c r="AD68" s="2"/>
      <c r="AE68" s="22">
        <v>1.0</v>
      </c>
    </row>
    <row r="69">
      <c r="A69" s="33" t="s">
        <v>247</v>
      </c>
      <c r="B69" s="34"/>
      <c r="C69" s="35"/>
      <c r="D69" s="34" t="s">
        <v>63</v>
      </c>
      <c r="E69" s="35" t="s">
        <v>5</v>
      </c>
      <c r="F69" s="35" t="s">
        <v>64</v>
      </c>
      <c r="G69" s="36" t="s">
        <v>248</v>
      </c>
      <c r="H69" s="35" t="s">
        <v>248</v>
      </c>
      <c r="I69" s="37">
        <v>28.606</v>
      </c>
      <c r="J69" s="37">
        <v>19.15809</v>
      </c>
      <c r="K69" s="37">
        <v>72.94856</v>
      </c>
      <c r="L69" s="35" t="s">
        <v>102</v>
      </c>
      <c r="M69" s="35"/>
      <c r="N69" s="35" t="s">
        <v>119</v>
      </c>
      <c r="O69" s="35" t="s">
        <v>68</v>
      </c>
      <c r="P69" s="35"/>
      <c r="Q69" s="37">
        <v>0.0</v>
      </c>
      <c r="R69" s="37">
        <v>1.0</v>
      </c>
      <c r="S69" s="37">
        <v>0.0</v>
      </c>
      <c r="T69" s="37">
        <v>0.0</v>
      </c>
      <c r="U69" s="37">
        <v>0.0</v>
      </c>
      <c r="V69" s="37">
        <v>0.0</v>
      </c>
      <c r="W69" s="37">
        <v>0.0</v>
      </c>
      <c r="X69" s="37">
        <v>0.0</v>
      </c>
      <c r="Y69" s="37">
        <v>0.0</v>
      </c>
      <c r="Z69" s="35"/>
      <c r="AA69" s="35"/>
      <c r="AB69" s="35"/>
      <c r="AC69" s="37">
        <v>200.0</v>
      </c>
      <c r="AD69" s="35"/>
      <c r="AE69" s="37">
        <v>1.0</v>
      </c>
    </row>
    <row r="70">
      <c r="A70" s="19" t="s">
        <v>249</v>
      </c>
      <c r="B70" s="20"/>
      <c r="C70" s="2"/>
      <c r="D70" s="20" t="s">
        <v>63</v>
      </c>
      <c r="E70" s="2" t="s">
        <v>5</v>
      </c>
      <c r="F70" s="2" t="s">
        <v>64</v>
      </c>
      <c r="G70" s="21" t="s">
        <v>250</v>
      </c>
      <c r="H70" s="2" t="s">
        <v>250</v>
      </c>
      <c r="I70" s="22">
        <v>29.284</v>
      </c>
      <c r="J70" s="22">
        <v>19.163</v>
      </c>
      <c r="K70" s="22">
        <v>72.9504</v>
      </c>
      <c r="L70" s="2" t="s">
        <v>102</v>
      </c>
      <c r="M70" s="2"/>
      <c r="N70" s="2" t="s">
        <v>67</v>
      </c>
      <c r="O70" s="2" t="s">
        <v>68</v>
      </c>
      <c r="P70" s="2"/>
      <c r="Q70" s="22">
        <v>0.0</v>
      </c>
      <c r="R70" s="22">
        <v>0.0</v>
      </c>
      <c r="S70" s="22">
        <v>1.0</v>
      </c>
      <c r="T70" s="22">
        <v>0.0</v>
      </c>
      <c r="U70" s="22">
        <v>1.0</v>
      </c>
      <c r="V70" s="22">
        <v>0.0</v>
      </c>
      <c r="W70" s="22">
        <v>0.0</v>
      </c>
      <c r="X70" s="22">
        <v>0.0</v>
      </c>
      <c r="Y70" s="22">
        <v>0.0</v>
      </c>
      <c r="Z70" s="2"/>
      <c r="AA70" s="2"/>
      <c r="AB70" s="2"/>
      <c r="AC70" s="22">
        <v>300.0</v>
      </c>
      <c r="AD70" s="2"/>
      <c r="AE70" s="22">
        <v>1.0</v>
      </c>
    </row>
    <row r="71">
      <c r="A71" s="19" t="s">
        <v>251</v>
      </c>
      <c r="B71" s="20" t="s">
        <v>252</v>
      </c>
      <c r="C71" s="2" t="s">
        <v>253</v>
      </c>
      <c r="D71" s="20" t="s">
        <v>63</v>
      </c>
      <c r="E71" s="2" t="s">
        <v>5</v>
      </c>
      <c r="F71" s="2" t="s">
        <v>64</v>
      </c>
      <c r="G71" s="21" t="s">
        <v>254</v>
      </c>
      <c r="H71" s="2" t="s">
        <v>254</v>
      </c>
      <c r="I71" s="22">
        <v>29.614</v>
      </c>
      <c r="J71" s="22">
        <v>19.16672</v>
      </c>
      <c r="K71" s="22">
        <v>72.95238</v>
      </c>
      <c r="L71" s="2" t="s">
        <v>66</v>
      </c>
      <c r="M71" s="2"/>
      <c r="N71" s="2" t="s">
        <v>67</v>
      </c>
      <c r="O71" s="2" t="s">
        <v>68</v>
      </c>
      <c r="P71" s="2"/>
      <c r="Q71" s="22">
        <v>0.0</v>
      </c>
      <c r="R71" s="22">
        <v>0.0</v>
      </c>
      <c r="S71" s="22">
        <v>1.0</v>
      </c>
      <c r="T71" s="22">
        <v>0.0</v>
      </c>
      <c r="U71" s="22">
        <v>1.0</v>
      </c>
      <c r="V71" s="22">
        <v>0.0</v>
      </c>
      <c r="W71" s="22">
        <v>0.0</v>
      </c>
      <c r="X71" s="22">
        <v>0.0</v>
      </c>
      <c r="Y71" s="22">
        <v>0.0</v>
      </c>
      <c r="Z71" s="2"/>
      <c r="AA71" s="2"/>
      <c r="AB71" s="2"/>
      <c r="AC71" s="22">
        <v>250.0</v>
      </c>
      <c r="AD71" s="2"/>
      <c r="AE71" s="22">
        <v>1.0</v>
      </c>
    </row>
    <row r="72">
      <c r="A72" s="19" t="s">
        <v>255</v>
      </c>
      <c r="B72" s="20" t="s">
        <v>252</v>
      </c>
      <c r="C72" s="2" t="s">
        <v>253</v>
      </c>
      <c r="D72" s="20" t="s">
        <v>63</v>
      </c>
      <c r="E72" s="2" t="s">
        <v>5</v>
      </c>
      <c r="F72" s="2" t="s">
        <v>64</v>
      </c>
      <c r="G72" s="21" t="s">
        <v>256</v>
      </c>
      <c r="H72" s="2" t="s">
        <v>257</v>
      </c>
      <c r="I72" s="22">
        <v>30.533</v>
      </c>
      <c r="J72" s="22">
        <v>19.17313</v>
      </c>
      <c r="K72" s="22">
        <v>72.95776</v>
      </c>
      <c r="L72" s="2" t="s">
        <v>66</v>
      </c>
      <c r="M72" s="2"/>
      <c r="N72" s="2" t="s">
        <v>67</v>
      </c>
      <c r="O72" s="2" t="s">
        <v>68</v>
      </c>
      <c r="P72" s="2"/>
      <c r="Q72" s="22">
        <v>0.0</v>
      </c>
      <c r="R72" s="22">
        <v>0.0</v>
      </c>
      <c r="S72" s="22">
        <v>1.0</v>
      </c>
      <c r="T72" s="22">
        <v>0.0</v>
      </c>
      <c r="U72" s="22">
        <v>0.0</v>
      </c>
      <c r="V72" s="22">
        <v>1.0</v>
      </c>
      <c r="W72" s="22">
        <v>0.0</v>
      </c>
      <c r="X72" s="22">
        <v>1.0</v>
      </c>
      <c r="Y72" s="22">
        <v>0.0</v>
      </c>
      <c r="Z72" s="2" t="s">
        <v>258</v>
      </c>
      <c r="AA72" s="2" t="s">
        <v>115</v>
      </c>
      <c r="AB72" s="2"/>
      <c r="AC72" s="22">
        <v>300.0</v>
      </c>
      <c r="AD72" s="2"/>
      <c r="AE72" s="22">
        <v>1.0</v>
      </c>
    </row>
    <row r="73">
      <c r="A73" s="19" t="s">
        <v>259</v>
      </c>
      <c r="B73" s="20"/>
      <c r="C73" s="2"/>
      <c r="D73" s="20" t="s">
        <v>63</v>
      </c>
      <c r="E73" s="2" t="s">
        <v>5</v>
      </c>
      <c r="F73" s="2" t="s">
        <v>64</v>
      </c>
      <c r="G73" s="21" t="s">
        <v>260</v>
      </c>
      <c r="H73" s="2" t="s">
        <v>260</v>
      </c>
      <c r="I73" s="22">
        <v>31.293</v>
      </c>
      <c r="J73" s="22">
        <v>19.17797</v>
      </c>
      <c r="K73" s="22">
        <v>72.96283</v>
      </c>
      <c r="L73" s="2" t="s">
        <v>102</v>
      </c>
      <c r="M73" s="2"/>
      <c r="N73" s="2" t="s">
        <v>67</v>
      </c>
      <c r="O73" s="2" t="s">
        <v>68</v>
      </c>
      <c r="P73" s="2"/>
      <c r="Q73" s="22">
        <v>0.0</v>
      </c>
      <c r="R73" s="22">
        <v>0.0</v>
      </c>
      <c r="S73" s="22">
        <v>1.0</v>
      </c>
      <c r="T73" s="22">
        <v>0.0</v>
      </c>
      <c r="U73" s="22">
        <v>0.0</v>
      </c>
      <c r="V73" s="22">
        <v>0.0</v>
      </c>
      <c r="W73" s="22">
        <v>0.0</v>
      </c>
      <c r="X73" s="22">
        <v>0.0</v>
      </c>
      <c r="Y73" s="22">
        <v>0.0</v>
      </c>
      <c r="Z73" s="2"/>
      <c r="AA73" s="2"/>
      <c r="AB73" s="2"/>
      <c r="AC73" s="22">
        <v>250.0</v>
      </c>
      <c r="AD73" s="2"/>
      <c r="AE73" s="22">
        <v>1.0</v>
      </c>
    </row>
    <row r="74">
      <c r="A74" s="19" t="s">
        <v>261</v>
      </c>
      <c r="B74" s="20" t="s">
        <v>262</v>
      </c>
      <c r="C74" s="2" t="s">
        <v>263</v>
      </c>
      <c r="D74" s="20" t="s">
        <v>63</v>
      </c>
      <c r="E74" s="2" t="s">
        <v>5</v>
      </c>
      <c r="F74" s="2" t="s">
        <v>64</v>
      </c>
      <c r="G74" s="21" t="s">
        <v>264</v>
      </c>
      <c r="H74" s="2" t="s">
        <v>264</v>
      </c>
      <c r="I74" s="22">
        <v>31.883</v>
      </c>
      <c r="J74" s="22">
        <v>19.18185</v>
      </c>
      <c r="K74" s="22">
        <v>72.96668</v>
      </c>
      <c r="L74" s="2" t="s">
        <v>66</v>
      </c>
      <c r="M74" s="2"/>
      <c r="N74" s="2" t="s">
        <v>67</v>
      </c>
      <c r="O74" s="2" t="s">
        <v>68</v>
      </c>
      <c r="P74" s="2"/>
      <c r="Q74" s="22">
        <v>0.0</v>
      </c>
      <c r="R74" s="22">
        <v>0.0</v>
      </c>
      <c r="S74" s="22">
        <v>1.0</v>
      </c>
      <c r="T74" s="22">
        <v>0.0</v>
      </c>
      <c r="U74" s="22">
        <v>1.0</v>
      </c>
      <c r="V74" s="22">
        <v>1.0</v>
      </c>
      <c r="W74" s="22">
        <v>0.0</v>
      </c>
      <c r="X74" s="22">
        <v>0.0</v>
      </c>
      <c r="Y74" s="22">
        <v>3.0</v>
      </c>
      <c r="Z74" s="2" t="s">
        <v>265</v>
      </c>
      <c r="AA74" s="2" t="s">
        <v>266</v>
      </c>
      <c r="AB74" s="2"/>
      <c r="AC74" s="22">
        <v>300.0</v>
      </c>
      <c r="AD74" s="2"/>
      <c r="AE74" s="22">
        <v>1.0</v>
      </c>
    </row>
    <row r="75">
      <c r="A75" s="19" t="s">
        <v>267</v>
      </c>
      <c r="B75" s="20" t="s">
        <v>262</v>
      </c>
      <c r="C75" s="2" t="s">
        <v>263</v>
      </c>
      <c r="D75" s="20" t="s">
        <v>63</v>
      </c>
      <c r="E75" s="2" t="s">
        <v>5</v>
      </c>
      <c r="F75" s="2" t="s">
        <v>64</v>
      </c>
      <c r="G75" s="21" t="s">
        <v>268</v>
      </c>
      <c r="H75" s="2" t="s">
        <v>268</v>
      </c>
      <c r="I75" s="22">
        <v>32.328</v>
      </c>
      <c r="J75" s="22">
        <v>19.18422</v>
      </c>
      <c r="K75" s="22">
        <v>72.97028</v>
      </c>
      <c r="L75" s="2" t="s">
        <v>66</v>
      </c>
      <c r="M75" s="2"/>
      <c r="N75" s="2" t="s">
        <v>67</v>
      </c>
      <c r="O75" s="2" t="s">
        <v>68</v>
      </c>
      <c r="P75" s="2"/>
      <c r="Q75" s="22">
        <v>0.0</v>
      </c>
      <c r="R75" s="22">
        <v>0.0</v>
      </c>
      <c r="S75" s="22">
        <v>1.0</v>
      </c>
      <c r="T75" s="22">
        <v>0.0</v>
      </c>
      <c r="U75" s="22">
        <v>0.0</v>
      </c>
      <c r="V75" s="22">
        <v>1.0</v>
      </c>
      <c r="W75" s="22">
        <v>0.0</v>
      </c>
      <c r="X75" s="22">
        <v>1.0</v>
      </c>
      <c r="Y75" s="22">
        <v>0.0</v>
      </c>
      <c r="Z75" s="2" t="s">
        <v>269</v>
      </c>
      <c r="AA75" s="2" t="s">
        <v>115</v>
      </c>
      <c r="AB75" s="2"/>
      <c r="AC75" s="22">
        <v>200.0</v>
      </c>
      <c r="AD75" s="2"/>
      <c r="AE75" s="22">
        <v>1.0</v>
      </c>
    </row>
    <row r="76">
      <c r="A76" s="19" t="s">
        <v>270</v>
      </c>
      <c r="B76" s="20" t="s">
        <v>262</v>
      </c>
      <c r="C76" s="2" t="s">
        <v>263</v>
      </c>
      <c r="D76" s="20" t="s">
        <v>63</v>
      </c>
      <c r="E76" s="2" t="s">
        <v>5</v>
      </c>
      <c r="F76" s="2" t="s">
        <v>64</v>
      </c>
      <c r="G76" s="21" t="s">
        <v>271</v>
      </c>
      <c r="H76" s="21" t="s">
        <v>271</v>
      </c>
      <c r="I76" s="22">
        <v>32.75</v>
      </c>
      <c r="J76" s="22">
        <v>19.18498</v>
      </c>
      <c r="K76" s="22">
        <v>72.97221</v>
      </c>
      <c r="L76" s="2" t="s">
        <v>66</v>
      </c>
      <c r="M76" s="2"/>
      <c r="N76" s="2" t="s">
        <v>67</v>
      </c>
      <c r="O76" s="2" t="s">
        <v>68</v>
      </c>
      <c r="P76" s="2"/>
      <c r="Q76" s="22">
        <v>0.0</v>
      </c>
      <c r="R76" s="22">
        <v>0.0</v>
      </c>
      <c r="S76" s="22">
        <v>1.0</v>
      </c>
      <c r="T76" s="22">
        <v>0.0</v>
      </c>
      <c r="U76" s="22">
        <v>1.0</v>
      </c>
      <c r="V76" s="22">
        <v>0.0</v>
      </c>
      <c r="W76" s="22">
        <v>0.0</v>
      </c>
      <c r="X76" s="22">
        <v>0.0</v>
      </c>
      <c r="Y76" s="22">
        <v>0.0</v>
      </c>
      <c r="Z76" s="2"/>
      <c r="AA76" s="2"/>
      <c r="AB76" s="2"/>
      <c r="AC76" s="22">
        <v>200.0</v>
      </c>
      <c r="AD76" s="2"/>
      <c r="AE76" s="22">
        <v>1.0</v>
      </c>
    </row>
    <row r="77">
      <c r="A77" s="23" t="s">
        <v>272</v>
      </c>
      <c r="B77" s="24" t="s">
        <v>262</v>
      </c>
      <c r="C77" s="25" t="s">
        <v>263</v>
      </c>
      <c r="D77" s="24" t="s">
        <v>63</v>
      </c>
      <c r="E77" s="25" t="s">
        <v>5</v>
      </c>
      <c r="F77" s="25" t="s">
        <v>64</v>
      </c>
      <c r="G77" s="26" t="s">
        <v>273</v>
      </c>
      <c r="H77" s="25" t="s">
        <v>274</v>
      </c>
      <c r="I77" s="27">
        <v>33.265</v>
      </c>
      <c r="J77" s="27">
        <v>19.18694</v>
      </c>
      <c r="K77" s="27">
        <v>72.9786</v>
      </c>
      <c r="L77" s="25" t="s">
        <v>66</v>
      </c>
      <c r="M77" s="25"/>
      <c r="N77" s="25" t="s">
        <v>81</v>
      </c>
      <c r="O77" s="25" t="s">
        <v>68</v>
      </c>
      <c r="P77" s="25"/>
      <c r="Q77" s="27">
        <v>1.0</v>
      </c>
      <c r="R77" s="27">
        <v>0.0</v>
      </c>
      <c r="S77" s="27">
        <v>0.0</v>
      </c>
      <c r="T77" s="27">
        <v>0.0</v>
      </c>
      <c r="U77" s="27">
        <v>1.0</v>
      </c>
      <c r="V77" s="27">
        <v>0.0</v>
      </c>
      <c r="W77" s="27">
        <v>0.0</v>
      </c>
      <c r="X77" s="27">
        <v>0.0</v>
      </c>
      <c r="Y77" s="27">
        <v>0.0</v>
      </c>
      <c r="Z77" s="25"/>
      <c r="AA77" s="25"/>
      <c r="AB77" s="25"/>
      <c r="AC77" s="27">
        <v>200.0</v>
      </c>
      <c r="AD77" s="25"/>
      <c r="AE77" s="27">
        <v>1.0</v>
      </c>
    </row>
    <row r="78">
      <c r="A78" s="19" t="s">
        <v>275</v>
      </c>
      <c r="B78" s="20" t="s">
        <v>262</v>
      </c>
      <c r="C78" s="2" t="s">
        <v>263</v>
      </c>
      <c r="D78" s="20" t="s">
        <v>63</v>
      </c>
      <c r="E78" s="2" t="s">
        <v>5</v>
      </c>
      <c r="F78" s="2" t="s">
        <v>64</v>
      </c>
      <c r="G78" s="21" t="s">
        <v>276</v>
      </c>
      <c r="H78" s="21" t="s">
        <v>276</v>
      </c>
      <c r="I78" s="22">
        <v>33.485</v>
      </c>
      <c r="J78" s="22">
        <v>19.18763</v>
      </c>
      <c r="K78" s="22">
        <v>72.98036</v>
      </c>
      <c r="L78" s="2" t="s">
        <v>66</v>
      </c>
      <c r="M78" s="2"/>
      <c r="N78" s="2" t="s">
        <v>67</v>
      </c>
      <c r="O78" s="2" t="s">
        <v>68</v>
      </c>
      <c r="P78" s="2"/>
      <c r="Q78" s="22">
        <v>0.0</v>
      </c>
      <c r="R78" s="22">
        <v>0.0</v>
      </c>
      <c r="S78" s="22">
        <v>1.0</v>
      </c>
      <c r="T78" s="22">
        <v>0.0</v>
      </c>
      <c r="U78" s="22">
        <v>0.0</v>
      </c>
      <c r="V78" s="22">
        <v>1.0</v>
      </c>
      <c r="W78" s="22">
        <v>0.0</v>
      </c>
      <c r="X78" s="22">
        <v>1.0</v>
      </c>
      <c r="Y78" s="22">
        <v>0.0</v>
      </c>
      <c r="Z78" s="2" t="s">
        <v>277</v>
      </c>
      <c r="AA78" s="2" t="s">
        <v>115</v>
      </c>
      <c r="AB78" s="2"/>
      <c r="AC78" s="22">
        <v>200.0</v>
      </c>
      <c r="AD78" s="2"/>
      <c r="AE78" s="22">
        <v>1.0</v>
      </c>
    </row>
    <row r="79">
      <c r="A79" s="19" t="s">
        <v>278</v>
      </c>
      <c r="B79" s="20"/>
      <c r="C79" s="2"/>
      <c r="D79" s="20" t="s">
        <v>63</v>
      </c>
      <c r="E79" s="2" t="s">
        <v>5</v>
      </c>
      <c r="F79" s="2" t="s">
        <v>64</v>
      </c>
      <c r="G79" s="21" t="s">
        <v>279</v>
      </c>
      <c r="H79" s="21" t="s">
        <v>279</v>
      </c>
      <c r="I79" s="22">
        <v>34.05</v>
      </c>
      <c r="J79" s="22">
        <v>19.18931</v>
      </c>
      <c r="K79" s="22">
        <v>72.98648</v>
      </c>
      <c r="L79" s="2" t="s">
        <v>102</v>
      </c>
      <c r="M79" s="2"/>
      <c r="N79" s="2" t="s">
        <v>67</v>
      </c>
      <c r="O79" s="2" t="s">
        <v>68</v>
      </c>
      <c r="P79" s="2"/>
      <c r="Q79" s="22">
        <v>0.0</v>
      </c>
      <c r="R79" s="22">
        <v>0.0</v>
      </c>
      <c r="S79" s="22">
        <v>1.0</v>
      </c>
      <c r="T79" s="22">
        <v>0.0</v>
      </c>
      <c r="U79" s="22">
        <v>0.0</v>
      </c>
      <c r="V79" s="22">
        <v>0.0</v>
      </c>
      <c r="W79" s="22">
        <v>0.0</v>
      </c>
      <c r="X79" s="22">
        <v>0.0</v>
      </c>
      <c r="Y79" s="22">
        <v>0.0</v>
      </c>
      <c r="Z79" s="2"/>
      <c r="AA79" s="2"/>
      <c r="AB79" s="2"/>
      <c r="AC79" s="22">
        <v>200.0</v>
      </c>
      <c r="AD79" s="2"/>
      <c r="AE79" s="22">
        <v>1.0</v>
      </c>
    </row>
    <row r="80">
      <c r="A80" s="19" t="s">
        <v>280</v>
      </c>
      <c r="B80" s="20"/>
      <c r="C80" s="2"/>
      <c r="D80" s="20" t="s">
        <v>63</v>
      </c>
      <c r="E80" s="2" t="s">
        <v>5</v>
      </c>
      <c r="F80" s="2" t="s">
        <v>64</v>
      </c>
      <c r="G80" s="21" t="s">
        <v>281</v>
      </c>
      <c r="H80" s="21" t="s">
        <v>281</v>
      </c>
      <c r="I80" s="22">
        <v>34.45</v>
      </c>
      <c r="J80" s="22">
        <v>19.19045</v>
      </c>
      <c r="K80" s="22">
        <v>72.99014</v>
      </c>
      <c r="L80" s="2" t="s">
        <v>102</v>
      </c>
      <c r="M80" s="2"/>
      <c r="N80" s="2" t="s">
        <v>67</v>
      </c>
      <c r="O80" s="2" t="s">
        <v>68</v>
      </c>
      <c r="P80" s="2"/>
      <c r="Q80" s="22">
        <v>0.0</v>
      </c>
      <c r="R80" s="22">
        <v>0.0</v>
      </c>
      <c r="S80" s="22">
        <v>1.0</v>
      </c>
      <c r="T80" s="22">
        <v>0.0</v>
      </c>
      <c r="U80" s="22">
        <v>0.0</v>
      </c>
      <c r="V80" s="22">
        <v>0.0</v>
      </c>
      <c r="W80" s="22">
        <v>0.0</v>
      </c>
      <c r="X80" s="22">
        <v>0.0</v>
      </c>
      <c r="Y80" s="22">
        <v>0.0</v>
      </c>
      <c r="Z80" s="2"/>
      <c r="AA80" s="2"/>
      <c r="AB80" s="2"/>
      <c r="AC80" s="22">
        <v>200.0</v>
      </c>
      <c r="AD80" s="2"/>
      <c r="AE80" s="22">
        <v>1.0</v>
      </c>
    </row>
    <row r="81">
      <c r="A81" s="19" t="s">
        <v>282</v>
      </c>
      <c r="B81" s="20"/>
      <c r="C81" s="2"/>
      <c r="D81" s="20" t="s">
        <v>63</v>
      </c>
      <c r="E81" s="2" t="s">
        <v>5</v>
      </c>
      <c r="F81" s="2" t="s">
        <v>64</v>
      </c>
      <c r="G81" s="21" t="s">
        <v>283</v>
      </c>
      <c r="H81" s="21" t="s">
        <v>283</v>
      </c>
      <c r="I81" s="22">
        <v>34.85</v>
      </c>
      <c r="J81" s="22">
        <v>19.19303</v>
      </c>
      <c r="K81" s="22">
        <v>72.994</v>
      </c>
      <c r="L81" s="2" t="s">
        <v>102</v>
      </c>
      <c r="M81" s="2"/>
      <c r="N81" s="2" t="s">
        <v>67</v>
      </c>
      <c r="O81" s="2" t="s">
        <v>68</v>
      </c>
      <c r="P81" s="2"/>
      <c r="Q81" s="22">
        <v>0.0</v>
      </c>
      <c r="R81" s="22">
        <v>0.0</v>
      </c>
      <c r="S81" s="22">
        <v>1.0</v>
      </c>
      <c r="T81" s="22">
        <v>0.0</v>
      </c>
      <c r="U81" s="22">
        <v>0.0</v>
      </c>
      <c r="V81" s="22">
        <v>0.0</v>
      </c>
      <c r="W81" s="22">
        <v>0.0</v>
      </c>
      <c r="X81" s="22">
        <v>0.0</v>
      </c>
      <c r="Y81" s="22">
        <v>0.0</v>
      </c>
      <c r="Z81" s="2"/>
      <c r="AA81" s="2"/>
      <c r="AB81" s="2"/>
      <c r="AC81" s="22">
        <v>250.0</v>
      </c>
      <c r="AD81" s="2"/>
      <c r="AE81" s="22">
        <v>1.0</v>
      </c>
    </row>
    <row r="82">
      <c r="A82" s="19" t="s">
        <v>284</v>
      </c>
      <c r="B82" s="20"/>
      <c r="C82" s="2"/>
      <c r="D82" s="20" t="s">
        <v>63</v>
      </c>
      <c r="E82" s="2" t="s">
        <v>5</v>
      </c>
      <c r="F82" s="2" t="s">
        <v>64</v>
      </c>
      <c r="G82" s="21" t="s">
        <v>285</v>
      </c>
      <c r="H82" s="21" t="s">
        <v>285</v>
      </c>
      <c r="I82" s="22">
        <v>35.25</v>
      </c>
      <c r="J82" s="22">
        <v>19.19525</v>
      </c>
      <c r="K82" s="22">
        <v>72.99688</v>
      </c>
      <c r="L82" s="2" t="s">
        <v>102</v>
      </c>
      <c r="M82" s="2"/>
      <c r="N82" s="2" t="s">
        <v>67</v>
      </c>
      <c r="O82" s="2" t="s">
        <v>68</v>
      </c>
      <c r="P82" s="2"/>
      <c r="Q82" s="22">
        <v>0.0</v>
      </c>
      <c r="R82" s="22">
        <v>0.0</v>
      </c>
      <c r="S82" s="22">
        <v>1.0</v>
      </c>
      <c r="T82" s="22">
        <v>0.0</v>
      </c>
      <c r="U82" s="22">
        <v>0.0</v>
      </c>
      <c r="V82" s="22">
        <v>0.0</v>
      </c>
      <c r="W82" s="22">
        <v>0.0</v>
      </c>
      <c r="X82" s="22">
        <v>0.0</v>
      </c>
      <c r="Y82" s="22">
        <v>0.0</v>
      </c>
      <c r="Z82" s="2"/>
      <c r="AA82" s="2"/>
      <c r="AB82" s="2"/>
      <c r="AC82" s="22">
        <v>250.0</v>
      </c>
      <c r="AD82" s="2"/>
      <c r="AE82" s="22">
        <v>1.0</v>
      </c>
    </row>
    <row r="83">
      <c r="A83" s="19" t="s">
        <v>286</v>
      </c>
      <c r="B83" s="20"/>
      <c r="C83" s="2"/>
      <c r="D83" s="20" t="s">
        <v>63</v>
      </c>
      <c r="E83" s="2" t="s">
        <v>5</v>
      </c>
      <c r="F83" s="2" t="s">
        <v>64</v>
      </c>
      <c r="G83" s="21" t="s">
        <v>287</v>
      </c>
      <c r="H83" s="2" t="s">
        <v>288</v>
      </c>
      <c r="I83" s="22">
        <v>35.671</v>
      </c>
      <c r="J83" s="22">
        <v>19.19775</v>
      </c>
      <c r="K83" s="22">
        <v>72.99988</v>
      </c>
      <c r="L83" s="2" t="s">
        <v>102</v>
      </c>
      <c r="M83" s="2"/>
      <c r="N83" s="2" t="s">
        <v>67</v>
      </c>
      <c r="O83" s="2" t="s">
        <v>68</v>
      </c>
      <c r="P83" s="2"/>
      <c r="Q83" s="22">
        <v>0.0</v>
      </c>
      <c r="R83" s="22">
        <v>0.0</v>
      </c>
      <c r="S83" s="22">
        <v>1.0</v>
      </c>
      <c r="T83" s="22">
        <v>0.0</v>
      </c>
      <c r="U83" s="22">
        <v>0.0</v>
      </c>
      <c r="V83" s="22">
        <v>0.0</v>
      </c>
      <c r="W83" s="22">
        <v>0.0</v>
      </c>
      <c r="X83" s="22">
        <v>0.0</v>
      </c>
      <c r="Y83" s="22">
        <v>0.0</v>
      </c>
      <c r="Z83" s="2"/>
      <c r="AA83" s="2"/>
      <c r="AB83" s="2"/>
      <c r="AC83" s="22">
        <v>250.0</v>
      </c>
      <c r="AD83" s="2"/>
      <c r="AE83" s="22">
        <v>1.0</v>
      </c>
    </row>
    <row r="84">
      <c r="A84" s="19" t="s">
        <v>289</v>
      </c>
      <c r="B84" s="20"/>
      <c r="C84" s="2"/>
      <c r="D84" s="20" t="s">
        <v>63</v>
      </c>
      <c r="E84" s="2" t="s">
        <v>5</v>
      </c>
      <c r="F84" s="2" t="s">
        <v>64</v>
      </c>
      <c r="G84" s="21" t="s">
        <v>290</v>
      </c>
      <c r="H84" s="21" t="s">
        <v>290</v>
      </c>
      <c r="I84" s="22">
        <v>36.071</v>
      </c>
      <c r="J84" s="22">
        <v>19.19966</v>
      </c>
      <c r="K84" s="22">
        <v>73.00211</v>
      </c>
      <c r="L84" s="2" t="s">
        <v>102</v>
      </c>
      <c r="M84" s="2"/>
      <c r="N84" s="2" t="s">
        <v>67</v>
      </c>
      <c r="O84" s="2" t="s">
        <v>68</v>
      </c>
      <c r="P84" s="2"/>
      <c r="Q84" s="22">
        <v>0.0</v>
      </c>
      <c r="R84" s="22">
        <v>0.0</v>
      </c>
      <c r="S84" s="22">
        <v>1.0</v>
      </c>
      <c r="T84" s="22">
        <v>0.0</v>
      </c>
      <c r="U84" s="22">
        <v>0.0</v>
      </c>
      <c r="V84" s="22">
        <v>0.0</v>
      </c>
      <c r="W84" s="22">
        <v>0.0</v>
      </c>
      <c r="X84" s="22">
        <v>0.0</v>
      </c>
      <c r="Y84" s="22">
        <v>0.0</v>
      </c>
      <c r="Z84" s="2"/>
      <c r="AA84" s="2"/>
      <c r="AB84" s="2"/>
      <c r="AC84" s="22">
        <v>200.0</v>
      </c>
      <c r="AD84" s="2"/>
      <c r="AE84" s="22">
        <v>1.0</v>
      </c>
    </row>
    <row r="85">
      <c r="A85" s="23" t="s">
        <v>291</v>
      </c>
      <c r="B85" s="24"/>
      <c r="C85" s="25"/>
      <c r="D85" s="24" t="s">
        <v>63</v>
      </c>
      <c r="E85" s="25" t="s">
        <v>5</v>
      </c>
      <c r="F85" s="25" t="s">
        <v>64</v>
      </c>
      <c r="G85" s="26" t="s">
        <v>290</v>
      </c>
      <c r="H85" s="26" t="s">
        <v>290</v>
      </c>
      <c r="I85" s="27">
        <v>36.556</v>
      </c>
      <c r="J85" s="27">
        <v>19.20249</v>
      </c>
      <c r="K85" s="27">
        <v>73.0056</v>
      </c>
      <c r="L85" s="25" t="s">
        <v>102</v>
      </c>
      <c r="M85" s="25"/>
      <c r="N85" s="25" t="s">
        <v>81</v>
      </c>
      <c r="O85" s="25" t="s">
        <v>68</v>
      </c>
      <c r="P85" s="25"/>
      <c r="Q85" s="27">
        <v>1.0</v>
      </c>
      <c r="R85" s="27">
        <v>0.0</v>
      </c>
      <c r="S85" s="27">
        <v>0.0</v>
      </c>
      <c r="T85" s="27">
        <v>0.0</v>
      </c>
      <c r="U85" s="27">
        <v>0.0</v>
      </c>
      <c r="V85" s="27">
        <v>0.0</v>
      </c>
      <c r="W85" s="27">
        <v>0.0</v>
      </c>
      <c r="X85" s="27">
        <v>0.0</v>
      </c>
      <c r="Y85" s="27">
        <v>0.0</v>
      </c>
      <c r="Z85" s="25"/>
      <c r="AA85" s="25"/>
      <c r="AB85" s="25"/>
      <c r="AC85" s="27">
        <v>200.0</v>
      </c>
      <c r="AD85" s="25"/>
      <c r="AE85" s="27">
        <v>1.0</v>
      </c>
    </row>
    <row r="86">
      <c r="A86" s="19" t="s">
        <v>292</v>
      </c>
      <c r="B86" s="20"/>
      <c r="C86" s="2"/>
      <c r="D86" s="20" t="s">
        <v>63</v>
      </c>
      <c r="E86" s="2" t="s">
        <v>5</v>
      </c>
      <c r="F86" s="2" t="s">
        <v>64</v>
      </c>
      <c r="G86" s="21" t="s">
        <v>293</v>
      </c>
      <c r="H86" s="21" t="s">
        <v>293</v>
      </c>
      <c r="I86" s="22">
        <v>36.964</v>
      </c>
      <c r="J86" s="22">
        <v>19.20534</v>
      </c>
      <c r="K86" s="22">
        <v>73.00952</v>
      </c>
      <c r="L86" s="2" t="s">
        <v>102</v>
      </c>
      <c r="M86" s="2"/>
      <c r="N86" s="2" t="s">
        <v>67</v>
      </c>
      <c r="O86" s="2" t="s">
        <v>68</v>
      </c>
      <c r="P86" s="2"/>
      <c r="Q86" s="22">
        <v>0.0</v>
      </c>
      <c r="R86" s="22">
        <v>0.0</v>
      </c>
      <c r="S86" s="22">
        <v>1.0</v>
      </c>
      <c r="T86" s="22">
        <v>0.0</v>
      </c>
      <c r="U86" s="22">
        <v>0.0</v>
      </c>
      <c r="V86" s="22">
        <v>0.0</v>
      </c>
      <c r="W86" s="22">
        <v>0.0</v>
      </c>
      <c r="X86" s="22">
        <v>0.0</v>
      </c>
      <c r="Y86" s="22">
        <v>0.0</v>
      </c>
      <c r="Z86" s="2"/>
      <c r="AA86" s="2"/>
      <c r="AB86" s="2"/>
      <c r="AC86" s="22">
        <v>200.0</v>
      </c>
      <c r="AD86" s="2"/>
      <c r="AE86" s="22">
        <v>1.0</v>
      </c>
    </row>
    <row r="87">
      <c r="A87" s="19" t="s">
        <v>294</v>
      </c>
      <c r="B87" s="20"/>
      <c r="C87" s="2"/>
      <c r="D87" s="20" t="s">
        <v>63</v>
      </c>
      <c r="E87" s="2" t="s">
        <v>5</v>
      </c>
      <c r="F87" s="2" t="s">
        <v>64</v>
      </c>
      <c r="G87" s="21" t="s">
        <v>295</v>
      </c>
      <c r="H87" s="21" t="s">
        <v>295</v>
      </c>
      <c r="I87" s="22">
        <v>37.566</v>
      </c>
      <c r="J87" s="22">
        <v>19.20605</v>
      </c>
      <c r="K87" s="22">
        <v>73.01514</v>
      </c>
      <c r="L87" s="2" t="s">
        <v>102</v>
      </c>
      <c r="M87" s="2"/>
      <c r="N87" s="2" t="s">
        <v>67</v>
      </c>
      <c r="O87" s="2" t="s">
        <v>68</v>
      </c>
      <c r="P87" s="2"/>
      <c r="Q87" s="22">
        <v>0.0</v>
      </c>
      <c r="R87" s="22">
        <v>0.0</v>
      </c>
      <c r="S87" s="22">
        <v>1.0</v>
      </c>
      <c r="T87" s="22">
        <v>0.0</v>
      </c>
      <c r="U87" s="22">
        <v>0.0</v>
      </c>
      <c r="V87" s="22">
        <v>0.0</v>
      </c>
      <c r="W87" s="22">
        <v>0.0</v>
      </c>
      <c r="X87" s="22">
        <v>0.0</v>
      </c>
      <c r="Y87" s="22">
        <v>0.0</v>
      </c>
      <c r="Z87" s="2"/>
      <c r="AA87" s="2"/>
      <c r="AB87" s="2"/>
      <c r="AC87" s="22">
        <v>200.0</v>
      </c>
      <c r="AD87" s="2"/>
      <c r="AE87" s="22">
        <v>1.0</v>
      </c>
    </row>
    <row r="88">
      <c r="A88" s="19" t="s">
        <v>296</v>
      </c>
      <c r="B88" s="20"/>
      <c r="C88" s="2"/>
      <c r="D88" s="20" t="s">
        <v>63</v>
      </c>
      <c r="E88" s="2" t="s">
        <v>5</v>
      </c>
      <c r="F88" s="2" t="s">
        <v>64</v>
      </c>
      <c r="G88" s="21" t="s">
        <v>297</v>
      </c>
      <c r="H88" s="21" t="s">
        <v>297</v>
      </c>
      <c r="I88" s="22">
        <v>38.066</v>
      </c>
      <c r="J88" s="22">
        <v>19.20387</v>
      </c>
      <c r="K88" s="22">
        <v>73.01928</v>
      </c>
      <c r="L88" s="2" t="s">
        <v>102</v>
      </c>
      <c r="M88" s="2"/>
      <c r="N88" s="2" t="s">
        <v>67</v>
      </c>
      <c r="O88" s="2" t="s">
        <v>68</v>
      </c>
      <c r="P88" s="2"/>
      <c r="Q88" s="22">
        <v>0.0</v>
      </c>
      <c r="R88" s="22">
        <v>0.0</v>
      </c>
      <c r="S88" s="22">
        <v>1.0</v>
      </c>
      <c r="T88" s="22">
        <v>0.0</v>
      </c>
      <c r="U88" s="22">
        <v>0.0</v>
      </c>
      <c r="V88" s="22">
        <v>0.0</v>
      </c>
      <c r="W88" s="22">
        <v>0.0</v>
      </c>
      <c r="X88" s="22">
        <v>0.0</v>
      </c>
      <c r="Y88" s="22">
        <v>0.0</v>
      </c>
      <c r="Z88" s="2"/>
      <c r="AA88" s="2"/>
      <c r="AB88" s="2"/>
      <c r="AC88" s="22">
        <v>200.0</v>
      </c>
      <c r="AD88" s="2"/>
      <c r="AE88" s="22">
        <v>1.0</v>
      </c>
    </row>
    <row r="89">
      <c r="A89" s="19" t="s">
        <v>298</v>
      </c>
      <c r="B89" s="20"/>
      <c r="C89" s="2"/>
      <c r="D89" s="20" t="s">
        <v>63</v>
      </c>
      <c r="E89" s="2" t="s">
        <v>5</v>
      </c>
      <c r="F89" s="2" t="s">
        <v>64</v>
      </c>
      <c r="G89" s="21" t="s">
        <v>299</v>
      </c>
      <c r="H89" s="21" t="s">
        <v>299</v>
      </c>
      <c r="I89" s="22">
        <v>38.566</v>
      </c>
      <c r="J89" s="22">
        <v>19.20027</v>
      </c>
      <c r="K89" s="22">
        <v>73.02213</v>
      </c>
      <c r="L89" s="2" t="s">
        <v>102</v>
      </c>
      <c r="M89" s="2"/>
      <c r="N89" s="2" t="s">
        <v>67</v>
      </c>
      <c r="O89" s="2" t="s">
        <v>68</v>
      </c>
      <c r="P89" s="2"/>
      <c r="Q89" s="22">
        <v>0.0</v>
      </c>
      <c r="R89" s="22">
        <v>0.0</v>
      </c>
      <c r="S89" s="22">
        <v>1.0</v>
      </c>
      <c r="T89" s="22">
        <v>0.0</v>
      </c>
      <c r="U89" s="22">
        <v>0.0</v>
      </c>
      <c r="V89" s="22">
        <v>0.0</v>
      </c>
      <c r="W89" s="22">
        <v>0.0</v>
      </c>
      <c r="X89" s="22">
        <v>0.0</v>
      </c>
      <c r="Y89" s="22">
        <v>0.0</v>
      </c>
      <c r="Z89" s="2"/>
      <c r="AA89" s="2"/>
      <c r="AB89" s="2"/>
      <c r="AC89" s="22">
        <v>250.0</v>
      </c>
      <c r="AD89" s="2"/>
      <c r="AE89" s="22">
        <v>1.0</v>
      </c>
    </row>
    <row r="90">
      <c r="A90" s="19" t="s">
        <v>300</v>
      </c>
      <c r="B90" s="20"/>
      <c r="C90" s="2"/>
      <c r="D90" s="20" t="s">
        <v>63</v>
      </c>
      <c r="E90" s="2" t="s">
        <v>5</v>
      </c>
      <c r="F90" s="2" t="s">
        <v>64</v>
      </c>
      <c r="G90" s="21" t="s">
        <v>301</v>
      </c>
      <c r="H90" s="21" t="s">
        <v>301</v>
      </c>
      <c r="I90" s="22">
        <v>39.066</v>
      </c>
      <c r="J90" s="22">
        <v>19.19596</v>
      </c>
      <c r="K90" s="22">
        <v>73.02322</v>
      </c>
      <c r="L90" s="2" t="s">
        <v>102</v>
      </c>
      <c r="M90" s="2"/>
      <c r="N90" s="2" t="s">
        <v>67</v>
      </c>
      <c r="O90" s="2" t="s">
        <v>68</v>
      </c>
      <c r="P90" s="2"/>
      <c r="Q90" s="22">
        <v>0.0</v>
      </c>
      <c r="R90" s="22">
        <v>0.0</v>
      </c>
      <c r="S90" s="22">
        <v>1.0</v>
      </c>
      <c r="T90" s="22">
        <v>0.0</v>
      </c>
      <c r="U90" s="22">
        <v>0.0</v>
      </c>
      <c r="V90" s="22">
        <v>0.0</v>
      </c>
      <c r="W90" s="22">
        <v>0.0</v>
      </c>
      <c r="X90" s="22">
        <v>0.0</v>
      </c>
      <c r="Y90" s="22">
        <v>0.0</v>
      </c>
      <c r="Z90" s="2"/>
      <c r="AA90" s="2"/>
      <c r="AB90" s="2"/>
      <c r="AC90" s="22">
        <v>200.0</v>
      </c>
      <c r="AD90" s="2"/>
      <c r="AE90" s="22">
        <v>1.0</v>
      </c>
    </row>
    <row r="91">
      <c r="A91" s="19" t="s">
        <v>302</v>
      </c>
      <c r="B91" s="20"/>
      <c r="C91" s="2"/>
      <c r="D91" s="20" t="s">
        <v>63</v>
      </c>
      <c r="E91" s="2" t="s">
        <v>5</v>
      </c>
      <c r="F91" s="2" t="s">
        <v>64</v>
      </c>
      <c r="G91" s="21" t="s">
        <v>303</v>
      </c>
      <c r="H91" s="21" t="s">
        <v>303</v>
      </c>
      <c r="I91" s="22">
        <v>39.57</v>
      </c>
      <c r="J91" s="22">
        <v>19.1922</v>
      </c>
      <c r="K91" s="22">
        <v>73.02318</v>
      </c>
      <c r="L91" s="2" t="s">
        <v>102</v>
      </c>
      <c r="M91" s="2"/>
      <c r="N91" s="2" t="s">
        <v>67</v>
      </c>
      <c r="O91" s="2" t="s">
        <v>68</v>
      </c>
      <c r="P91" s="2"/>
      <c r="Q91" s="22">
        <v>0.0</v>
      </c>
      <c r="R91" s="22">
        <v>0.0</v>
      </c>
      <c r="S91" s="22">
        <v>1.0</v>
      </c>
      <c r="T91" s="22">
        <v>0.0</v>
      </c>
      <c r="U91" s="22">
        <v>0.0</v>
      </c>
      <c r="V91" s="22">
        <v>0.0</v>
      </c>
      <c r="W91" s="22">
        <v>0.0</v>
      </c>
      <c r="X91" s="22">
        <v>0.0</v>
      </c>
      <c r="Y91" s="22">
        <v>0.0</v>
      </c>
      <c r="Z91" s="2"/>
      <c r="AA91" s="2"/>
      <c r="AB91" s="2"/>
      <c r="AC91" s="22">
        <v>200.0</v>
      </c>
      <c r="AD91" s="2"/>
      <c r="AE91" s="22">
        <v>1.0</v>
      </c>
    </row>
    <row r="92">
      <c r="A92" s="28" t="s">
        <v>304</v>
      </c>
      <c r="B92" s="20"/>
      <c r="C92" s="2"/>
      <c r="D92" s="20" t="s">
        <v>63</v>
      </c>
      <c r="E92" s="2" t="s">
        <v>5</v>
      </c>
      <c r="F92" s="2" t="s">
        <v>64</v>
      </c>
      <c r="G92" s="31" t="s">
        <v>305</v>
      </c>
      <c r="H92" s="31" t="s">
        <v>305</v>
      </c>
      <c r="I92" s="22"/>
      <c r="J92" s="22"/>
      <c r="K92" s="22"/>
      <c r="L92" s="30" t="s">
        <v>111</v>
      </c>
      <c r="M92" s="2"/>
      <c r="N92" s="30" t="s">
        <v>67</v>
      </c>
      <c r="O92" s="30" t="s">
        <v>68</v>
      </c>
      <c r="P92" s="2"/>
      <c r="Q92" s="32">
        <v>0.0</v>
      </c>
      <c r="R92" s="32">
        <v>0.0</v>
      </c>
      <c r="S92" s="32">
        <v>1.0</v>
      </c>
      <c r="T92" s="32">
        <v>0.0</v>
      </c>
      <c r="U92" s="32">
        <v>0.0</v>
      </c>
      <c r="V92" s="32">
        <v>0.0</v>
      </c>
      <c r="W92" s="32">
        <v>0.0</v>
      </c>
      <c r="X92" s="32">
        <v>0.0</v>
      </c>
      <c r="Y92" s="32">
        <v>0.0</v>
      </c>
      <c r="Z92" s="2"/>
      <c r="AA92" s="2"/>
      <c r="AB92" s="2"/>
      <c r="AC92" s="22"/>
      <c r="AD92" s="2"/>
      <c r="AE92" s="32">
        <v>1.0</v>
      </c>
    </row>
    <row r="93">
      <c r="A93" s="19" t="s">
        <v>306</v>
      </c>
      <c r="B93" s="20"/>
      <c r="C93" s="2"/>
      <c r="D93" s="20" t="s">
        <v>63</v>
      </c>
      <c r="E93" s="2" t="s">
        <v>5</v>
      </c>
      <c r="F93" s="2" t="s">
        <v>64</v>
      </c>
      <c r="G93" s="21" t="s">
        <v>307</v>
      </c>
      <c r="H93" s="2" t="s">
        <v>308</v>
      </c>
      <c r="I93" s="22">
        <v>39.969</v>
      </c>
      <c r="J93" s="22">
        <v>19.18873</v>
      </c>
      <c r="K93" s="22">
        <v>73.02369</v>
      </c>
      <c r="L93" s="2" t="s">
        <v>102</v>
      </c>
      <c r="M93" s="2"/>
      <c r="N93" s="2" t="s">
        <v>67</v>
      </c>
      <c r="O93" s="2" t="s">
        <v>68</v>
      </c>
      <c r="P93" s="2"/>
      <c r="Q93" s="22">
        <v>0.0</v>
      </c>
      <c r="R93" s="22">
        <v>0.0</v>
      </c>
      <c r="S93" s="22">
        <v>1.0</v>
      </c>
      <c r="T93" s="22">
        <v>0.0</v>
      </c>
      <c r="U93" s="22">
        <v>0.0</v>
      </c>
      <c r="V93" s="22">
        <v>0.0</v>
      </c>
      <c r="W93" s="22">
        <v>0.0</v>
      </c>
      <c r="X93" s="22">
        <v>0.0</v>
      </c>
      <c r="Y93" s="22">
        <v>0.0</v>
      </c>
      <c r="Z93" s="2"/>
      <c r="AA93" s="2"/>
      <c r="AB93" s="2"/>
      <c r="AC93" s="22">
        <v>150.0</v>
      </c>
      <c r="AD93" s="2" t="s">
        <v>116</v>
      </c>
      <c r="AE93" s="22">
        <v>1.0</v>
      </c>
    </row>
    <row r="94">
      <c r="A94" s="19" t="s">
        <v>309</v>
      </c>
      <c r="B94" s="20"/>
      <c r="C94" s="2"/>
      <c r="D94" s="20" t="s">
        <v>63</v>
      </c>
      <c r="E94" s="2" t="s">
        <v>5</v>
      </c>
      <c r="F94" s="2" t="s">
        <v>64</v>
      </c>
      <c r="G94" s="21" t="s">
        <v>310</v>
      </c>
      <c r="H94" s="21" t="s">
        <v>310</v>
      </c>
      <c r="I94" s="22">
        <v>40.676</v>
      </c>
      <c r="J94" s="22">
        <v>19.18465</v>
      </c>
      <c r="K94" s="22">
        <v>73.02854</v>
      </c>
      <c r="L94" s="2" t="s">
        <v>102</v>
      </c>
      <c r="M94" s="2"/>
      <c r="N94" s="2" t="s">
        <v>67</v>
      </c>
      <c r="O94" s="2" t="s">
        <v>68</v>
      </c>
      <c r="P94" s="2"/>
      <c r="Q94" s="22">
        <v>0.0</v>
      </c>
      <c r="R94" s="22">
        <v>0.0</v>
      </c>
      <c r="S94" s="22">
        <v>1.0</v>
      </c>
      <c r="T94" s="22">
        <v>0.0</v>
      </c>
      <c r="U94" s="22">
        <v>1.0</v>
      </c>
      <c r="V94" s="22">
        <v>0.0</v>
      </c>
      <c r="W94" s="22">
        <v>0.0</v>
      </c>
      <c r="X94" s="22">
        <v>0.0</v>
      </c>
      <c r="Y94" s="22">
        <v>0.0</v>
      </c>
      <c r="Z94" s="2"/>
      <c r="AA94" s="2"/>
      <c r="AB94" s="2"/>
      <c r="AC94" s="22">
        <v>250.0</v>
      </c>
      <c r="AD94" s="2"/>
      <c r="AE94" s="22">
        <v>1.0</v>
      </c>
    </row>
    <row r="95">
      <c r="A95" s="19" t="s">
        <v>311</v>
      </c>
      <c r="B95" s="20" t="s">
        <v>312</v>
      </c>
      <c r="C95" s="2" t="s">
        <v>312</v>
      </c>
      <c r="D95" s="20" t="s">
        <v>63</v>
      </c>
      <c r="E95" s="2" t="s">
        <v>5</v>
      </c>
      <c r="F95" s="2" t="s">
        <v>64</v>
      </c>
      <c r="G95" s="21" t="s">
        <v>313</v>
      </c>
      <c r="H95" s="21" t="s">
        <v>313</v>
      </c>
      <c r="I95" s="22">
        <v>41.192</v>
      </c>
      <c r="J95" s="22">
        <v>19.18449</v>
      </c>
      <c r="K95" s="22">
        <v>73.03215</v>
      </c>
      <c r="L95" s="2" t="s">
        <v>66</v>
      </c>
      <c r="M95" s="2"/>
      <c r="N95" s="2" t="s">
        <v>67</v>
      </c>
      <c r="O95" s="2" t="s">
        <v>68</v>
      </c>
      <c r="P95" s="2"/>
      <c r="Q95" s="22">
        <v>0.0</v>
      </c>
      <c r="R95" s="22">
        <v>0.0</v>
      </c>
      <c r="S95" s="22">
        <v>1.0</v>
      </c>
      <c r="T95" s="22">
        <v>0.0</v>
      </c>
      <c r="U95" s="22">
        <v>0.0</v>
      </c>
      <c r="V95" s="22">
        <v>1.0</v>
      </c>
      <c r="W95" s="22">
        <v>0.0</v>
      </c>
      <c r="X95" s="22">
        <v>0.0</v>
      </c>
      <c r="Y95" s="22">
        <v>2.0</v>
      </c>
      <c r="Z95" s="2" t="s">
        <v>314</v>
      </c>
      <c r="AA95" s="2" t="s">
        <v>315</v>
      </c>
      <c r="AB95" s="2"/>
      <c r="AC95" s="22">
        <v>200.0</v>
      </c>
      <c r="AD95" s="2"/>
      <c r="AE95" s="22">
        <v>1.0</v>
      </c>
    </row>
    <row r="96">
      <c r="A96" s="19" t="s">
        <v>316</v>
      </c>
      <c r="B96" s="20" t="s">
        <v>312</v>
      </c>
      <c r="C96" s="2" t="s">
        <v>312</v>
      </c>
      <c r="D96" s="20" t="s">
        <v>63</v>
      </c>
      <c r="E96" s="2" t="s">
        <v>5</v>
      </c>
      <c r="F96" s="2" t="s">
        <v>64</v>
      </c>
      <c r="G96" s="21" t="s">
        <v>317</v>
      </c>
      <c r="H96" s="21" t="s">
        <v>317</v>
      </c>
      <c r="I96" s="22">
        <v>41.911</v>
      </c>
      <c r="J96" s="22">
        <v>19.18755</v>
      </c>
      <c r="K96" s="22">
        <v>73.03944</v>
      </c>
      <c r="L96" s="2" t="s">
        <v>66</v>
      </c>
      <c r="M96" s="2"/>
      <c r="N96" s="2" t="s">
        <v>67</v>
      </c>
      <c r="O96" s="2" t="s">
        <v>68</v>
      </c>
      <c r="P96" s="2"/>
      <c r="Q96" s="22">
        <v>0.0</v>
      </c>
      <c r="R96" s="22">
        <v>0.0</v>
      </c>
      <c r="S96" s="22">
        <v>1.0</v>
      </c>
      <c r="T96" s="22">
        <v>0.0</v>
      </c>
      <c r="U96" s="22">
        <v>0.0</v>
      </c>
      <c r="V96" s="22">
        <v>0.0</v>
      </c>
      <c r="W96" s="22">
        <v>0.0</v>
      </c>
      <c r="X96" s="22">
        <v>0.0</v>
      </c>
      <c r="Y96" s="22">
        <v>0.0</v>
      </c>
      <c r="Z96" s="2"/>
      <c r="AA96" s="2"/>
      <c r="AB96" s="2"/>
      <c r="AC96" s="22">
        <v>250.0</v>
      </c>
      <c r="AD96" s="2"/>
      <c r="AE96" s="22">
        <v>1.0</v>
      </c>
    </row>
    <row r="97">
      <c r="A97" s="19" t="s">
        <v>318</v>
      </c>
      <c r="B97" s="20" t="s">
        <v>312</v>
      </c>
      <c r="C97" s="2" t="s">
        <v>312</v>
      </c>
      <c r="D97" s="20" t="s">
        <v>63</v>
      </c>
      <c r="E97" s="2" t="s">
        <v>5</v>
      </c>
      <c r="F97" s="2" t="s">
        <v>64</v>
      </c>
      <c r="G97" s="21" t="s">
        <v>319</v>
      </c>
      <c r="H97" s="2" t="s">
        <v>320</v>
      </c>
      <c r="I97" s="22">
        <v>42.511</v>
      </c>
      <c r="J97" s="22">
        <v>19.18982</v>
      </c>
      <c r="K97" s="22">
        <v>73.04469</v>
      </c>
      <c r="L97" s="2" t="s">
        <v>66</v>
      </c>
      <c r="M97" s="2"/>
      <c r="N97" s="2" t="s">
        <v>67</v>
      </c>
      <c r="O97" s="2" t="s">
        <v>68</v>
      </c>
      <c r="P97" s="2"/>
      <c r="Q97" s="22">
        <v>0.0</v>
      </c>
      <c r="R97" s="22">
        <v>0.0</v>
      </c>
      <c r="S97" s="22">
        <v>1.0</v>
      </c>
      <c r="T97" s="22">
        <v>0.0</v>
      </c>
      <c r="U97" s="22">
        <v>0.0</v>
      </c>
      <c r="V97" s="22">
        <v>1.0</v>
      </c>
      <c r="W97" s="22">
        <v>0.0</v>
      </c>
      <c r="X97" s="22">
        <v>1.0</v>
      </c>
      <c r="Y97" s="22">
        <v>0.0</v>
      </c>
      <c r="Z97" s="2" t="s">
        <v>321</v>
      </c>
      <c r="AA97" s="2" t="s">
        <v>115</v>
      </c>
      <c r="AB97" s="2"/>
      <c r="AC97" s="22">
        <v>250.0</v>
      </c>
      <c r="AD97" s="2"/>
      <c r="AE97" s="22">
        <v>1.0</v>
      </c>
    </row>
    <row r="98">
      <c r="A98" s="19" t="s">
        <v>322</v>
      </c>
      <c r="B98" s="20"/>
      <c r="C98" s="2"/>
      <c r="D98" s="20" t="s">
        <v>63</v>
      </c>
      <c r="E98" s="2" t="s">
        <v>5</v>
      </c>
      <c r="F98" s="2" t="s">
        <v>64</v>
      </c>
      <c r="G98" s="21" t="s">
        <v>323</v>
      </c>
      <c r="H98" s="21" t="s">
        <v>323</v>
      </c>
      <c r="I98" s="22">
        <v>43.062</v>
      </c>
      <c r="J98" s="22">
        <v>19.19196</v>
      </c>
      <c r="K98" s="22">
        <v>73.04949</v>
      </c>
      <c r="L98" s="2" t="s">
        <v>102</v>
      </c>
      <c r="M98" s="2"/>
      <c r="N98" s="2" t="s">
        <v>67</v>
      </c>
      <c r="O98" s="2" t="s">
        <v>68</v>
      </c>
      <c r="P98" s="2"/>
      <c r="Q98" s="22">
        <v>0.0</v>
      </c>
      <c r="R98" s="22">
        <v>0.0</v>
      </c>
      <c r="S98" s="22">
        <v>1.0</v>
      </c>
      <c r="T98" s="22">
        <v>0.0</v>
      </c>
      <c r="U98" s="22">
        <v>0.0</v>
      </c>
      <c r="V98" s="22">
        <v>0.0</v>
      </c>
      <c r="W98" s="22">
        <v>0.0</v>
      </c>
      <c r="X98" s="22">
        <v>0.0</v>
      </c>
      <c r="Y98" s="22">
        <v>0.0</v>
      </c>
      <c r="Z98" s="2"/>
      <c r="AA98" s="2"/>
      <c r="AB98" s="2"/>
      <c r="AC98" s="22">
        <v>300.0</v>
      </c>
      <c r="AD98" s="2"/>
      <c r="AE98" s="22">
        <v>1.0</v>
      </c>
    </row>
    <row r="99">
      <c r="A99" s="19" t="s">
        <v>324</v>
      </c>
      <c r="B99" s="20"/>
      <c r="C99" s="2"/>
      <c r="D99" s="20" t="s">
        <v>63</v>
      </c>
      <c r="E99" s="2" t="s">
        <v>5</v>
      </c>
      <c r="F99" s="2" t="s">
        <v>64</v>
      </c>
      <c r="G99" s="21" t="s">
        <v>325</v>
      </c>
      <c r="H99" s="21" t="s">
        <v>325</v>
      </c>
      <c r="I99" s="22">
        <v>43.472</v>
      </c>
      <c r="J99" s="22">
        <v>19.19359</v>
      </c>
      <c r="K99" s="22">
        <v>73.05345</v>
      </c>
      <c r="L99" s="2" t="s">
        <v>66</v>
      </c>
      <c r="M99" s="2"/>
      <c r="N99" s="2" t="s">
        <v>67</v>
      </c>
      <c r="O99" s="2" t="s">
        <v>68</v>
      </c>
      <c r="P99" s="2"/>
      <c r="Q99" s="22">
        <v>0.0</v>
      </c>
      <c r="R99" s="22">
        <v>0.0</v>
      </c>
      <c r="S99" s="22">
        <v>1.0</v>
      </c>
      <c r="T99" s="22">
        <v>0.0</v>
      </c>
      <c r="U99" s="22">
        <v>0.0</v>
      </c>
      <c r="V99" s="22">
        <v>0.0</v>
      </c>
      <c r="W99" s="22">
        <v>0.0</v>
      </c>
      <c r="X99" s="22">
        <v>0.0</v>
      </c>
      <c r="Y99" s="22">
        <v>0.0</v>
      </c>
      <c r="Z99" s="2"/>
      <c r="AA99" s="2"/>
      <c r="AB99" s="2"/>
      <c r="AC99" s="22">
        <v>300.0</v>
      </c>
      <c r="AD99" s="2"/>
      <c r="AE99" s="22">
        <v>1.0</v>
      </c>
    </row>
    <row r="100">
      <c r="A100" s="19" t="s">
        <v>326</v>
      </c>
      <c r="B100" s="20"/>
      <c r="C100" s="2"/>
      <c r="D100" s="20" t="s">
        <v>63</v>
      </c>
      <c r="E100" s="2" t="s">
        <v>5</v>
      </c>
      <c r="F100" s="2" t="s">
        <v>64</v>
      </c>
      <c r="G100" s="21" t="s">
        <v>327</v>
      </c>
      <c r="H100" s="21" t="s">
        <v>327</v>
      </c>
      <c r="I100" s="22">
        <v>43.87</v>
      </c>
      <c r="J100" s="22">
        <v>19.19556</v>
      </c>
      <c r="K100" s="22">
        <v>73.05702</v>
      </c>
      <c r="L100" s="2" t="s">
        <v>102</v>
      </c>
      <c r="M100" s="2"/>
      <c r="N100" s="2" t="s">
        <v>67</v>
      </c>
      <c r="O100" s="2" t="s">
        <v>68</v>
      </c>
      <c r="P100" s="2"/>
      <c r="Q100" s="22">
        <v>0.0</v>
      </c>
      <c r="R100" s="22">
        <v>0.0</v>
      </c>
      <c r="S100" s="22">
        <v>1.0</v>
      </c>
      <c r="T100" s="22">
        <v>0.0</v>
      </c>
      <c r="U100" s="22">
        <v>0.0</v>
      </c>
      <c r="V100" s="22">
        <v>0.0</v>
      </c>
      <c r="W100" s="22">
        <v>0.0</v>
      </c>
      <c r="X100" s="22">
        <v>0.0</v>
      </c>
      <c r="Y100" s="22">
        <v>0.0</v>
      </c>
      <c r="Z100" s="2"/>
      <c r="AA100" s="2"/>
      <c r="AB100" s="2"/>
      <c r="AC100" s="22">
        <v>300.0</v>
      </c>
      <c r="AD100" s="2"/>
      <c r="AE100" s="22">
        <v>1.0</v>
      </c>
    </row>
    <row r="101">
      <c r="A101" s="33" t="s">
        <v>328</v>
      </c>
      <c r="B101" s="34"/>
      <c r="C101" s="35"/>
      <c r="D101" s="34" t="s">
        <v>63</v>
      </c>
      <c r="E101" s="35" t="s">
        <v>5</v>
      </c>
      <c r="F101" s="35" t="s">
        <v>64</v>
      </c>
      <c r="G101" s="36" t="s">
        <v>329</v>
      </c>
      <c r="H101" s="36" t="s">
        <v>329</v>
      </c>
      <c r="I101" s="37">
        <v>44.261</v>
      </c>
      <c r="J101" s="37">
        <v>19.19556</v>
      </c>
      <c r="K101" s="37">
        <v>73.05702</v>
      </c>
      <c r="L101" s="35" t="s">
        <v>102</v>
      </c>
      <c r="M101" s="35"/>
      <c r="N101" s="35" t="s">
        <v>119</v>
      </c>
      <c r="O101" s="35" t="s">
        <v>68</v>
      </c>
      <c r="P101" s="35"/>
      <c r="Q101" s="37">
        <v>0.0</v>
      </c>
      <c r="R101" s="37">
        <v>1.0</v>
      </c>
      <c r="S101" s="37">
        <v>0.0</v>
      </c>
      <c r="T101" s="37">
        <v>0.0</v>
      </c>
      <c r="U101" s="37">
        <v>0.0</v>
      </c>
      <c r="V101" s="37">
        <v>0.0</v>
      </c>
      <c r="W101" s="37">
        <v>0.0</v>
      </c>
      <c r="X101" s="37">
        <v>0.0</v>
      </c>
      <c r="Y101" s="37">
        <v>0.0</v>
      </c>
      <c r="Z101" s="35"/>
      <c r="AA101" s="35"/>
      <c r="AB101" s="35"/>
      <c r="AC101" s="37">
        <v>250.0</v>
      </c>
      <c r="AD101" s="35"/>
      <c r="AE101" s="37">
        <v>1.0</v>
      </c>
    </row>
    <row r="102">
      <c r="A102" s="33" t="s">
        <v>330</v>
      </c>
      <c r="B102" s="34"/>
      <c r="C102" s="35"/>
      <c r="D102" s="34" t="s">
        <v>63</v>
      </c>
      <c r="E102" s="35" t="s">
        <v>5</v>
      </c>
      <c r="F102" s="35" t="s">
        <v>64</v>
      </c>
      <c r="G102" s="36" t="s">
        <v>331</v>
      </c>
      <c r="H102" s="36" t="s">
        <v>331</v>
      </c>
      <c r="I102" s="37">
        <v>44.653</v>
      </c>
      <c r="J102" s="37">
        <v>19.19979</v>
      </c>
      <c r="K102" s="37">
        <v>73.06266</v>
      </c>
      <c r="L102" s="35" t="s">
        <v>102</v>
      </c>
      <c r="M102" s="35"/>
      <c r="N102" s="35" t="s">
        <v>119</v>
      </c>
      <c r="O102" s="35" t="s">
        <v>68</v>
      </c>
      <c r="P102" s="35"/>
      <c r="Q102" s="37">
        <v>0.0</v>
      </c>
      <c r="R102" s="37">
        <v>1.0</v>
      </c>
      <c r="S102" s="37">
        <v>0.0</v>
      </c>
      <c r="T102" s="37">
        <v>0.0</v>
      </c>
      <c r="U102" s="37">
        <v>0.0</v>
      </c>
      <c r="V102" s="37">
        <v>0.0</v>
      </c>
      <c r="W102" s="37">
        <v>0.0</v>
      </c>
      <c r="X102" s="37">
        <v>0.0</v>
      </c>
      <c r="Y102" s="37">
        <v>0.0</v>
      </c>
      <c r="Z102" s="35"/>
      <c r="AA102" s="35"/>
      <c r="AB102" s="35"/>
      <c r="AC102" s="37">
        <v>300.0</v>
      </c>
      <c r="AD102" s="35"/>
      <c r="AE102" s="37">
        <v>1.0</v>
      </c>
    </row>
    <row r="103">
      <c r="A103" s="19" t="s">
        <v>332</v>
      </c>
      <c r="B103" s="20"/>
      <c r="C103" s="2"/>
      <c r="D103" s="20" t="s">
        <v>63</v>
      </c>
      <c r="E103" s="2" t="s">
        <v>5</v>
      </c>
      <c r="F103" s="2" t="s">
        <v>64</v>
      </c>
      <c r="G103" s="21" t="s">
        <v>333</v>
      </c>
      <c r="H103" s="21" t="s">
        <v>333</v>
      </c>
      <c r="I103" s="22">
        <v>45.048</v>
      </c>
      <c r="J103" s="22">
        <v>19.20198</v>
      </c>
      <c r="K103" s="22">
        <v>73.06555</v>
      </c>
      <c r="L103" s="2" t="s">
        <v>102</v>
      </c>
      <c r="M103" s="2"/>
      <c r="N103" s="2" t="s">
        <v>67</v>
      </c>
      <c r="O103" s="2" t="s">
        <v>68</v>
      </c>
      <c r="P103" s="2"/>
      <c r="Q103" s="22">
        <v>0.0</v>
      </c>
      <c r="R103" s="22">
        <v>0.0</v>
      </c>
      <c r="S103" s="22">
        <v>1.0</v>
      </c>
      <c r="T103" s="22">
        <v>0.0</v>
      </c>
      <c r="U103" s="22">
        <v>0.0</v>
      </c>
      <c r="V103" s="22">
        <v>0.0</v>
      </c>
      <c r="W103" s="22">
        <v>0.0</v>
      </c>
      <c r="X103" s="22">
        <v>0.0</v>
      </c>
      <c r="Y103" s="22">
        <v>0.0</v>
      </c>
      <c r="Z103" s="2"/>
      <c r="AA103" s="2"/>
      <c r="AB103" s="2"/>
      <c r="AC103" s="22">
        <v>300.0</v>
      </c>
      <c r="AD103" s="2"/>
      <c r="AE103" s="22">
        <v>1.0</v>
      </c>
    </row>
    <row r="104">
      <c r="A104" s="19" t="s">
        <v>334</v>
      </c>
      <c r="B104" s="20"/>
      <c r="C104" s="2"/>
      <c r="D104" s="20" t="s">
        <v>63</v>
      </c>
      <c r="E104" s="2" t="s">
        <v>5</v>
      </c>
      <c r="F104" s="2" t="s">
        <v>64</v>
      </c>
      <c r="G104" s="21" t="s">
        <v>335</v>
      </c>
      <c r="H104" s="21" t="s">
        <v>335</v>
      </c>
      <c r="I104" s="22">
        <v>45.388</v>
      </c>
      <c r="J104" s="22">
        <v>19.20415</v>
      </c>
      <c r="K104" s="22">
        <v>73.06844</v>
      </c>
      <c r="L104" s="2" t="s">
        <v>102</v>
      </c>
      <c r="M104" s="2"/>
      <c r="N104" s="2" t="s">
        <v>67</v>
      </c>
      <c r="O104" s="2" t="s">
        <v>68</v>
      </c>
      <c r="P104" s="2"/>
      <c r="Q104" s="22">
        <v>0.0</v>
      </c>
      <c r="R104" s="22">
        <v>0.0</v>
      </c>
      <c r="S104" s="22">
        <v>1.0</v>
      </c>
      <c r="T104" s="22">
        <v>0.0</v>
      </c>
      <c r="U104" s="22">
        <v>0.0</v>
      </c>
      <c r="V104" s="22">
        <v>0.0</v>
      </c>
      <c r="W104" s="22">
        <v>0.0</v>
      </c>
      <c r="X104" s="22">
        <v>0.0</v>
      </c>
      <c r="Y104" s="22">
        <v>0.0</v>
      </c>
      <c r="Z104" s="2"/>
      <c r="AA104" s="2"/>
      <c r="AB104" s="2"/>
      <c r="AC104" s="22">
        <v>250.0</v>
      </c>
      <c r="AD104" s="2"/>
      <c r="AE104" s="22">
        <v>1.0</v>
      </c>
    </row>
    <row r="105">
      <c r="A105" s="33" t="s">
        <v>336</v>
      </c>
      <c r="B105" s="34"/>
      <c r="C105" s="35"/>
      <c r="D105" s="34" t="s">
        <v>63</v>
      </c>
      <c r="E105" s="35" t="s">
        <v>5</v>
      </c>
      <c r="F105" s="35" t="s">
        <v>64</v>
      </c>
      <c r="G105" s="36" t="s">
        <v>337</v>
      </c>
      <c r="H105" s="36" t="s">
        <v>337</v>
      </c>
      <c r="I105" s="37">
        <v>45.799</v>
      </c>
      <c r="J105" s="37">
        <v>19.20605</v>
      </c>
      <c r="K105" s="37">
        <v>73.07098</v>
      </c>
      <c r="L105" s="35" t="s">
        <v>102</v>
      </c>
      <c r="M105" s="35"/>
      <c r="N105" s="35" t="s">
        <v>119</v>
      </c>
      <c r="O105" s="35" t="s">
        <v>68</v>
      </c>
      <c r="P105" s="35"/>
      <c r="Q105" s="37">
        <v>0.0</v>
      </c>
      <c r="R105" s="37">
        <v>1.0</v>
      </c>
      <c r="S105" s="37">
        <v>0.0</v>
      </c>
      <c r="T105" s="37">
        <v>0.0</v>
      </c>
      <c r="U105" s="37">
        <v>0.0</v>
      </c>
      <c r="V105" s="37">
        <v>0.0</v>
      </c>
      <c r="W105" s="37">
        <v>0.0</v>
      </c>
      <c r="X105" s="37">
        <v>0.0</v>
      </c>
      <c r="Y105" s="37">
        <v>0.0</v>
      </c>
      <c r="Z105" s="35"/>
      <c r="AA105" s="35"/>
      <c r="AB105" s="35"/>
      <c r="AC105" s="37">
        <v>500.0</v>
      </c>
      <c r="AD105" s="35"/>
      <c r="AE105" s="37">
        <v>1.0</v>
      </c>
    </row>
    <row r="106">
      <c r="A106" s="33" t="s">
        <v>338</v>
      </c>
      <c r="B106" s="34"/>
      <c r="C106" s="35"/>
      <c r="D106" s="34" t="s">
        <v>63</v>
      </c>
      <c r="E106" s="35" t="s">
        <v>5</v>
      </c>
      <c r="F106" s="35" t="s">
        <v>64</v>
      </c>
      <c r="G106" s="36" t="s">
        <v>339</v>
      </c>
      <c r="H106" s="36" t="s">
        <v>339</v>
      </c>
      <c r="I106" s="37">
        <v>46.488</v>
      </c>
      <c r="J106" s="37">
        <v>19.20994</v>
      </c>
      <c r="K106" s="37">
        <v>73.07613</v>
      </c>
      <c r="L106" s="35" t="s">
        <v>102</v>
      </c>
      <c r="M106" s="35"/>
      <c r="N106" s="35" t="s">
        <v>119</v>
      </c>
      <c r="O106" s="35" t="s">
        <v>68</v>
      </c>
      <c r="P106" s="35"/>
      <c r="Q106" s="37">
        <v>0.0</v>
      </c>
      <c r="R106" s="37">
        <v>1.0</v>
      </c>
      <c r="S106" s="37">
        <v>0.0</v>
      </c>
      <c r="T106" s="37">
        <v>0.0</v>
      </c>
      <c r="U106" s="37">
        <v>0.0</v>
      </c>
      <c r="V106" s="37">
        <v>0.0</v>
      </c>
      <c r="W106" s="37">
        <v>0.0</v>
      </c>
      <c r="X106" s="37">
        <v>0.0</v>
      </c>
      <c r="Y106" s="37">
        <v>0.0</v>
      </c>
      <c r="Z106" s="35"/>
      <c r="AA106" s="35"/>
      <c r="AB106" s="35"/>
      <c r="AC106" s="37">
        <v>400.0</v>
      </c>
      <c r="AD106" s="35"/>
      <c r="AE106" s="37">
        <v>1.0</v>
      </c>
    </row>
    <row r="107">
      <c r="A107" s="33" t="s">
        <v>340</v>
      </c>
      <c r="B107" s="34"/>
      <c r="C107" s="35"/>
      <c r="D107" s="34" t="s">
        <v>63</v>
      </c>
      <c r="E107" s="35" t="s">
        <v>5</v>
      </c>
      <c r="F107" s="35" t="s">
        <v>64</v>
      </c>
      <c r="G107" s="36" t="s">
        <v>341</v>
      </c>
      <c r="H107" s="36" t="s">
        <v>341</v>
      </c>
      <c r="I107" s="37">
        <v>47.114</v>
      </c>
      <c r="J107" s="37">
        <v>19.21346</v>
      </c>
      <c r="K107" s="37">
        <v>73.08074</v>
      </c>
      <c r="L107" s="35" t="s">
        <v>102</v>
      </c>
      <c r="M107" s="35"/>
      <c r="N107" s="35" t="s">
        <v>119</v>
      </c>
      <c r="O107" s="35" t="s">
        <v>68</v>
      </c>
      <c r="P107" s="35"/>
      <c r="Q107" s="37">
        <v>0.0</v>
      </c>
      <c r="R107" s="37">
        <v>1.0</v>
      </c>
      <c r="S107" s="37">
        <v>0.0</v>
      </c>
      <c r="T107" s="37">
        <v>0.0</v>
      </c>
      <c r="U107" s="37">
        <v>0.0</v>
      </c>
      <c r="V107" s="37">
        <v>0.0</v>
      </c>
      <c r="W107" s="37">
        <v>0.0</v>
      </c>
      <c r="X107" s="37">
        <v>0.0</v>
      </c>
      <c r="Y107" s="37">
        <v>0.0</v>
      </c>
      <c r="Z107" s="35"/>
      <c r="AA107" s="35"/>
      <c r="AB107" s="35"/>
      <c r="AC107" s="37">
        <v>200.0</v>
      </c>
      <c r="AD107" s="35"/>
      <c r="AE107" s="37">
        <v>1.0</v>
      </c>
    </row>
    <row r="108">
      <c r="A108" s="33" t="s">
        <v>342</v>
      </c>
      <c r="B108" s="34" t="s">
        <v>343</v>
      </c>
      <c r="C108" s="35" t="s">
        <v>344</v>
      </c>
      <c r="D108" s="34" t="s">
        <v>63</v>
      </c>
      <c r="E108" s="35" t="s">
        <v>5</v>
      </c>
      <c r="F108" s="35" t="s">
        <v>64</v>
      </c>
      <c r="G108" s="36" t="s">
        <v>345</v>
      </c>
      <c r="H108" s="36" t="s">
        <v>345</v>
      </c>
      <c r="I108" s="37">
        <v>47.53</v>
      </c>
      <c r="J108" s="37">
        <v>19.2158</v>
      </c>
      <c r="K108" s="37">
        <v>73.08391</v>
      </c>
      <c r="L108" s="35" t="s">
        <v>66</v>
      </c>
      <c r="M108" s="35"/>
      <c r="N108" s="35" t="s">
        <v>119</v>
      </c>
      <c r="O108" s="35" t="s">
        <v>68</v>
      </c>
      <c r="P108" s="35"/>
      <c r="Q108" s="37">
        <v>0.0</v>
      </c>
      <c r="R108" s="37">
        <v>1.0</v>
      </c>
      <c r="S108" s="37">
        <v>0.0</v>
      </c>
      <c r="T108" s="37">
        <v>0.0</v>
      </c>
      <c r="U108" s="37">
        <v>0.0</v>
      </c>
      <c r="V108" s="37">
        <v>0.0</v>
      </c>
      <c r="W108" s="37">
        <v>0.0</v>
      </c>
      <c r="X108" s="37">
        <v>0.0</v>
      </c>
      <c r="Y108" s="37">
        <v>0.0</v>
      </c>
      <c r="Z108" s="35"/>
      <c r="AA108" s="35"/>
      <c r="AB108" s="35"/>
      <c r="AC108" s="37">
        <v>250.0</v>
      </c>
      <c r="AD108" s="35"/>
      <c r="AE108" s="37">
        <v>1.0</v>
      </c>
    </row>
    <row r="109">
      <c r="A109" s="19" t="s">
        <v>346</v>
      </c>
      <c r="B109" s="38" t="s">
        <v>343</v>
      </c>
      <c r="C109" s="2" t="s">
        <v>344</v>
      </c>
      <c r="D109" s="20" t="s">
        <v>63</v>
      </c>
      <c r="E109" s="2" t="s">
        <v>5</v>
      </c>
      <c r="F109" s="2" t="s">
        <v>64</v>
      </c>
      <c r="G109" s="21" t="s">
        <v>347</v>
      </c>
      <c r="H109" s="2" t="s">
        <v>348</v>
      </c>
      <c r="I109" s="22">
        <v>48.187</v>
      </c>
      <c r="J109" s="22">
        <v>19.21955</v>
      </c>
      <c r="K109" s="22">
        <v>73.08872</v>
      </c>
      <c r="L109" s="2" t="s">
        <v>66</v>
      </c>
      <c r="M109" s="2"/>
      <c r="N109" s="2" t="s">
        <v>67</v>
      </c>
      <c r="O109" s="2" t="s">
        <v>68</v>
      </c>
      <c r="P109" s="2"/>
      <c r="Q109" s="22">
        <v>0.0</v>
      </c>
      <c r="R109" s="22">
        <v>0.0</v>
      </c>
      <c r="S109" s="22">
        <v>1.0</v>
      </c>
      <c r="T109" s="22">
        <v>0.0</v>
      </c>
      <c r="U109" s="22">
        <v>0.0</v>
      </c>
      <c r="V109" s="22">
        <v>0.0</v>
      </c>
      <c r="W109" s="22">
        <v>0.0</v>
      </c>
      <c r="X109" s="22">
        <v>0.0</v>
      </c>
      <c r="Y109" s="22">
        <v>0.0</v>
      </c>
      <c r="Z109" s="2"/>
      <c r="AA109" s="2"/>
      <c r="AB109" s="2"/>
      <c r="AC109" s="22">
        <v>250.0</v>
      </c>
      <c r="AD109" s="2"/>
      <c r="AE109" s="22">
        <v>1.0</v>
      </c>
    </row>
    <row r="110">
      <c r="A110" s="19" t="s">
        <v>349</v>
      </c>
      <c r="B110" s="2"/>
      <c r="C110" s="2"/>
      <c r="D110" s="20" t="s">
        <v>63</v>
      </c>
      <c r="E110" s="2" t="s">
        <v>5</v>
      </c>
      <c r="F110" s="2" t="s">
        <v>64</v>
      </c>
      <c r="G110" s="21" t="s">
        <v>350</v>
      </c>
      <c r="H110" s="21" t="s">
        <v>350</v>
      </c>
      <c r="I110" s="22">
        <v>48.631</v>
      </c>
      <c r="J110" s="22">
        <v>19.22213</v>
      </c>
      <c r="K110" s="22">
        <v>73.09215</v>
      </c>
      <c r="L110" s="2" t="s">
        <v>102</v>
      </c>
      <c r="M110" s="2"/>
      <c r="N110" s="2" t="s">
        <v>67</v>
      </c>
      <c r="O110" s="2" t="s">
        <v>68</v>
      </c>
      <c r="P110" s="2"/>
      <c r="Q110" s="22">
        <v>0.0</v>
      </c>
      <c r="R110" s="22">
        <v>0.0</v>
      </c>
      <c r="S110" s="22">
        <v>1.0</v>
      </c>
      <c r="T110" s="22">
        <v>0.0</v>
      </c>
      <c r="U110" s="22">
        <v>0.0</v>
      </c>
      <c r="V110" s="22">
        <v>0.0</v>
      </c>
      <c r="W110" s="22">
        <v>0.0</v>
      </c>
      <c r="X110" s="22">
        <v>0.0</v>
      </c>
      <c r="Y110" s="22">
        <v>0.0</v>
      </c>
      <c r="Z110" s="2"/>
      <c r="AA110" s="2"/>
      <c r="AB110" s="2"/>
      <c r="AC110" s="22">
        <v>200.0</v>
      </c>
      <c r="AD110" s="2"/>
      <c r="AE110" s="22">
        <v>1.0</v>
      </c>
    </row>
    <row r="111">
      <c r="A111" s="19" t="s">
        <v>351</v>
      </c>
      <c r="B111" s="2"/>
      <c r="C111" s="2"/>
      <c r="D111" s="20" t="s">
        <v>63</v>
      </c>
      <c r="E111" s="2" t="s">
        <v>5</v>
      </c>
      <c r="F111" s="2" t="s">
        <v>64</v>
      </c>
      <c r="G111" s="21" t="s">
        <v>352</v>
      </c>
      <c r="H111" s="21" t="s">
        <v>352</v>
      </c>
      <c r="I111" s="22">
        <v>49.117</v>
      </c>
      <c r="J111" s="22">
        <v>19.22472</v>
      </c>
      <c r="K111" s="22">
        <v>73.09559</v>
      </c>
      <c r="L111" s="2" t="s">
        <v>102</v>
      </c>
      <c r="M111" s="2"/>
      <c r="N111" s="2" t="s">
        <v>67</v>
      </c>
      <c r="O111" s="2" t="s">
        <v>68</v>
      </c>
      <c r="P111" s="2"/>
      <c r="Q111" s="22">
        <v>0.0</v>
      </c>
      <c r="R111" s="22">
        <v>0.0</v>
      </c>
      <c r="S111" s="22">
        <v>1.0</v>
      </c>
      <c r="T111" s="22">
        <v>0.0</v>
      </c>
      <c r="U111" s="22">
        <v>0.0</v>
      </c>
      <c r="V111" s="22">
        <v>0.0</v>
      </c>
      <c r="W111" s="22">
        <v>0.0</v>
      </c>
      <c r="X111" s="22">
        <v>0.0</v>
      </c>
      <c r="Y111" s="22">
        <v>0.0</v>
      </c>
      <c r="Z111" s="2"/>
      <c r="AA111" s="2"/>
      <c r="AB111" s="2"/>
      <c r="AC111" s="22">
        <v>200.0</v>
      </c>
      <c r="AD111" s="2"/>
      <c r="AE111" s="22">
        <v>1.0</v>
      </c>
    </row>
    <row r="112">
      <c r="A112" s="33" t="s">
        <v>353</v>
      </c>
      <c r="B112" s="35"/>
      <c r="C112" s="35"/>
      <c r="D112" s="34" t="s">
        <v>63</v>
      </c>
      <c r="E112" s="35" t="s">
        <v>5</v>
      </c>
      <c r="F112" s="35" t="s">
        <v>64</v>
      </c>
      <c r="G112" s="36" t="s">
        <v>354</v>
      </c>
      <c r="H112" s="36" t="s">
        <v>354</v>
      </c>
      <c r="I112" s="37">
        <v>49.697</v>
      </c>
      <c r="J112" s="37">
        <v>19.227</v>
      </c>
      <c r="K112" s="37">
        <v>73.10079</v>
      </c>
      <c r="L112" s="35" t="s">
        <v>102</v>
      </c>
      <c r="M112" s="35"/>
      <c r="N112" s="35" t="s">
        <v>119</v>
      </c>
      <c r="O112" s="35" t="s">
        <v>68</v>
      </c>
      <c r="P112" s="35"/>
      <c r="Q112" s="37">
        <v>0.0</v>
      </c>
      <c r="R112" s="37">
        <v>1.0</v>
      </c>
      <c r="S112" s="37">
        <v>0.0</v>
      </c>
      <c r="T112" s="37">
        <v>0.0</v>
      </c>
      <c r="U112" s="37">
        <v>0.0</v>
      </c>
      <c r="V112" s="37">
        <v>0.0</v>
      </c>
      <c r="W112" s="37">
        <v>0.0</v>
      </c>
      <c r="X112" s="37">
        <v>0.0</v>
      </c>
      <c r="Y112" s="37">
        <v>0.0</v>
      </c>
      <c r="Z112" s="35"/>
      <c r="AA112" s="35"/>
      <c r="AB112" s="35"/>
      <c r="AC112" s="37">
        <v>200.0</v>
      </c>
      <c r="AD112" s="35"/>
      <c r="AE112" s="37">
        <v>1.0</v>
      </c>
    </row>
    <row r="113">
      <c r="A113" s="33" t="s">
        <v>355</v>
      </c>
      <c r="B113" s="35"/>
      <c r="C113" s="35"/>
      <c r="D113" s="34" t="s">
        <v>63</v>
      </c>
      <c r="E113" s="35" t="s">
        <v>5</v>
      </c>
      <c r="F113" s="35" t="s">
        <v>64</v>
      </c>
      <c r="G113" s="36" t="s">
        <v>356</v>
      </c>
      <c r="H113" s="36" t="s">
        <v>356</v>
      </c>
      <c r="I113" s="37">
        <v>50.097</v>
      </c>
      <c r="J113" s="37">
        <v>19.22816</v>
      </c>
      <c r="K113" s="37">
        <v>73.10438</v>
      </c>
      <c r="L113" s="35" t="s">
        <v>102</v>
      </c>
      <c r="M113" s="35"/>
      <c r="N113" s="35" t="s">
        <v>119</v>
      </c>
      <c r="O113" s="35" t="s">
        <v>68</v>
      </c>
      <c r="P113" s="35"/>
      <c r="Q113" s="37">
        <v>0.0</v>
      </c>
      <c r="R113" s="37">
        <v>1.0</v>
      </c>
      <c r="S113" s="37">
        <v>0.0</v>
      </c>
      <c r="T113" s="37">
        <v>0.0</v>
      </c>
      <c r="U113" s="37">
        <v>0.0</v>
      </c>
      <c r="V113" s="37">
        <v>0.0</v>
      </c>
      <c r="W113" s="37">
        <v>0.0</v>
      </c>
      <c r="X113" s="37">
        <v>0.0</v>
      </c>
      <c r="Y113" s="37">
        <v>0.0</v>
      </c>
      <c r="Z113" s="35"/>
      <c r="AA113" s="35"/>
      <c r="AB113" s="35"/>
      <c r="AC113" s="37">
        <v>200.0</v>
      </c>
      <c r="AD113" s="35"/>
      <c r="AE113" s="37">
        <v>1.0</v>
      </c>
    </row>
    <row r="114">
      <c r="A114" s="33" t="s">
        <v>357</v>
      </c>
      <c r="B114" s="35"/>
      <c r="C114" s="35"/>
      <c r="D114" s="34" t="s">
        <v>63</v>
      </c>
      <c r="E114" s="35" t="s">
        <v>5</v>
      </c>
      <c r="F114" s="35" t="s">
        <v>64</v>
      </c>
      <c r="G114" s="36" t="s">
        <v>358</v>
      </c>
      <c r="H114" s="36" t="s">
        <v>358</v>
      </c>
      <c r="I114" s="37">
        <v>50.515</v>
      </c>
      <c r="J114" s="37">
        <v>19.22937</v>
      </c>
      <c r="K114" s="37">
        <v>73.10811</v>
      </c>
      <c r="L114" s="35" t="s">
        <v>102</v>
      </c>
      <c r="M114" s="35"/>
      <c r="N114" s="35" t="s">
        <v>119</v>
      </c>
      <c r="O114" s="35" t="s">
        <v>68</v>
      </c>
      <c r="P114" s="35"/>
      <c r="Q114" s="37">
        <v>0.0</v>
      </c>
      <c r="R114" s="37">
        <v>1.0</v>
      </c>
      <c r="S114" s="37">
        <v>0.0</v>
      </c>
      <c r="T114" s="37">
        <v>0.0</v>
      </c>
      <c r="U114" s="37">
        <v>0.0</v>
      </c>
      <c r="V114" s="37">
        <v>0.0</v>
      </c>
      <c r="W114" s="37">
        <v>0.0</v>
      </c>
      <c r="X114" s="37">
        <v>0.0</v>
      </c>
      <c r="Y114" s="37">
        <v>0.0</v>
      </c>
      <c r="Z114" s="35"/>
      <c r="AA114" s="35"/>
      <c r="AB114" s="35"/>
      <c r="AC114" s="37">
        <v>250.0</v>
      </c>
      <c r="AD114" s="35"/>
      <c r="AE114" s="37">
        <v>1.0</v>
      </c>
    </row>
    <row r="115">
      <c r="A115" s="33" t="s">
        <v>359</v>
      </c>
      <c r="B115" s="35" t="s">
        <v>360</v>
      </c>
      <c r="C115" s="35" t="s">
        <v>361</v>
      </c>
      <c r="D115" s="34" t="s">
        <v>63</v>
      </c>
      <c r="E115" s="35" t="s">
        <v>5</v>
      </c>
      <c r="F115" s="35" t="s">
        <v>64</v>
      </c>
      <c r="G115" s="36" t="s">
        <v>362</v>
      </c>
      <c r="H115" s="36" t="s">
        <v>362</v>
      </c>
      <c r="I115" s="37">
        <v>50.933</v>
      </c>
      <c r="J115" s="37">
        <v>19.23054</v>
      </c>
      <c r="K115" s="37">
        <v>73.11173</v>
      </c>
      <c r="L115" s="35" t="s">
        <v>66</v>
      </c>
      <c r="M115" s="35"/>
      <c r="N115" s="35" t="s">
        <v>119</v>
      </c>
      <c r="O115" s="35" t="s">
        <v>68</v>
      </c>
      <c r="P115" s="35"/>
      <c r="Q115" s="37">
        <v>0.0</v>
      </c>
      <c r="R115" s="37">
        <v>1.0</v>
      </c>
      <c r="S115" s="37">
        <v>0.0</v>
      </c>
      <c r="T115" s="37">
        <v>0.0</v>
      </c>
      <c r="U115" s="37">
        <v>0.0</v>
      </c>
      <c r="V115" s="37">
        <v>1.0</v>
      </c>
      <c r="W115" s="37">
        <v>0.0</v>
      </c>
      <c r="X115" s="37">
        <v>0.0</v>
      </c>
      <c r="Y115" s="37">
        <v>2.0</v>
      </c>
      <c r="Z115" s="35" t="s">
        <v>363</v>
      </c>
      <c r="AA115" s="35" t="s">
        <v>315</v>
      </c>
      <c r="AB115" s="35"/>
      <c r="AC115" s="37">
        <v>200.0</v>
      </c>
      <c r="AD115" s="35"/>
      <c r="AE115" s="37">
        <v>1.0</v>
      </c>
    </row>
    <row r="116">
      <c r="A116" s="33" t="s">
        <v>364</v>
      </c>
      <c r="B116" s="35" t="s">
        <v>360</v>
      </c>
      <c r="C116" s="35" t="s">
        <v>361</v>
      </c>
      <c r="D116" s="34" t="s">
        <v>63</v>
      </c>
      <c r="E116" s="35" t="s">
        <v>5</v>
      </c>
      <c r="F116" s="35" t="s">
        <v>64</v>
      </c>
      <c r="G116" s="36" t="s">
        <v>365</v>
      </c>
      <c r="H116" s="36" t="s">
        <v>365</v>
      </c>
      <c r="I116" s="37">
        <v>51.713</v>
      </c>
      <c r="J116" s="37">
        <v>19.23223</v>
      </c>
      <c r="K116" s="37">
        <v>73.11913</v>
      </c>
      <c r="L116" s="35" t="s">
        <v>66</v>
      </c>
      <c r="M116" s="35"/>
      <c r="N116" s="35" t="s">
        <v>119</v>
      </c>
      <c r="O116" s="35" t="s">
        <v>68</v>
      </c>
      <c r="P116" s="35"/>
      <c r="Q116" s="37">
        <v>0.0</v>
      </c>
      <c r="R116" s="37">
        <v>1.0</v>
      </c>
      <c r="S116" s="37">
        <v>0.0</v>
      </c>
      <c r="T116" s="37">
        <v>0.0</v>
      </c>
      <c r="U116" s="37">
        <v>0.0</v>
      </c>
      <c r="V116" s="37">
        <v>1.0</v>
      </c>
      <c r="W116" s="37">
        <v>0.0</v>
      </c>
      <c r="X116" s="37">
        <v>2.0</v>
      </c>
      <c r="Y116" s="37">
        <v>0.0</v>
      </c>
      <c r="Z116" s="35" t="s">
        <v>366</v>
      </c>
      <c r="AA116" s="35" t="s">
        <v>78</v>
      </c>
      <c r="AB116" s="35"/>
      <c r="AC116" s="37">
        <v>200.0</v>
      </c>
      <c r="AD116" s="35"/>
      <c r="AE116" s="37">
        <v>1.0</v>
      </c>
    </row>
    <row r="117">
      <c r="A117" s="33" t="s">
        <v>367</v>
      </c>
      <c r="B117" s="35" t="s">
        <v>360</v>
      </c>
      <c r="C117" s="35" t="s">
        <v>361</v>
      </c>
      <c r="D117" s="34" t="s">
        <v>63</v>
      </c>
      <c r="E117" s="35" t="s">
        <v>5</v>
      </c>
      <c r="F117" s="35" t="s">
        <v>64</v>
      </c>
      <c r="G117" s="36" t="s">
        <v>368</v>
      </c>
      <c r="H117" s="36" t="s">
        <v>368</v>
      </c>
      <c r="I117" s="37">
        <v>52.278</v>
      </c>
      <c r="J117" s="37">
        <v>19.23303</v>
      </c>
      <c r="K117" s="37">
        <v>73.12457</v>
      </c>
      <c r="L117" s="35" t="s">
        <v>66</v>
      </c>
      <c r="M117" s="35"/>
      <c r="N117" s="35" t="s">
        <v>119</v>
      </c>
      <c r="O117" s="35" t="s">
        <v>68</v>
      </c>
      <c r="P117" s="35"/>
      <c r="Q117" s="37">
        <v>0.0</v>
      </c>
      <c r="R117" s="37">
        <v>1.0</v>
      </c>
      <c r="S117" s="37">
        <v>0.0</v>
      </c>
      <c r="T117" s="37">
        <v>0.0</v>
      </c>
      <c r="U117" s="37">
        <v>0.0</v>
      </c>
      <c r="V117" s="37">
        <v>1.0</v>
      </c>
      <c r="W117" s="37">
        <v>1.0</v>
      </c>
      <c r="X117" s="37">
        <v>1.0</v>
      </c>
      <c r="Y117" s="37">
        <v>2.0</v>
      </c>
      <c r="Z117" s="35" t="s">
        <v>369</v>
      </c>
      <c r="AA117" s="35" t="s">
        <v>370</v>
      </c>
      <c r="AB117" s="35"/>
      <c r="AC117" s="37">
        <v>200.0</v>
      </c>
      <c r="AD117" s="35"/>
      <c r="AE117" s="37">
        <v>1.0</v>
      </c>
    </row>
    <row r="118">
      <c r="A118" s="23" t="s">
        <v>371</v>
      </c>
      <c r="B118" s="25" t="s">
        <v>360</v>
      </c>
      <c r="C118" s="25" t="s">
        <v>361</v>
      </c>
      <c r="D118" s="24" t="s">
        <v>63</v>
      </c>
      <c r="E118" s="25" t="s">
        <v>5</v>
      </c>
      <c r="F118" s="25" t="s">
        <v>64</v>
      </c>
      <c r="G118" s="26" t="s">
        <v>372</v>
      </c>
      <c r="H118" s="25" t="s">
        <v>373</v>
      </c>
      <c r="I118" s="27">
        <v>52.728</v>
      </c>
      <c r="J118" s="27">
        <v>19.23438</v>
      </c>
      <c r="K118" s="27">
        <v>73.12842</v>
      </c>
      <c r="L118" s="25" t="s">
        <v>66</v>
      </c>
      <c r="M118" s="25"/>
      <c r="N118" s="25" t="s">
        <v>81</v>
      </c>
      <c r="O118" s="25" t="s">
        <v>68</v>
      </c>
      <c r="P118" s="25"/>
      <c r="Q118" s="27">
        <v>1.0</v>
      </c>
      <c r="R118" s="27">
        <v>0.0</v>
      </c>
      <c r="S118" s="27">
        <v>0.0</v>
      </c>
      <c r="T118" s="27">
        <v>0.0</v>
      </c>
      <c r="U118" s="27">
        <v>0.0</v>
      </c>
      <c r="V118" s="27">
        <v>0.0</v>
      </c>
      <c r="W118" s="27">
        <v>0.0</v>
      </c>
      <c r="X118" s="27">
        <v>0.0</v>
      </c>
      <c r="Y118" s="27">
        <v>0.0</v>
      </c>
      <c r="Z118" s="25"/>
      <c r="AA118" s="25"/>
      <c r="AB118" s="25"/>
      <c r="AC118" s="27">
        <v>200.0</v>
      </c>
      <c r="AD118" s="25"/>
      <c r="AE118" s="27">
        <v>1.0</v>
      </c>
    </row>
    <row r="119">
      <c r="A119" s="23" t="s">
        <v>374</v>
      </c>
      <c r="B119" s="25" t="s">
        <v>360</v>
      </c>
      <c r="C119" s="25" t="s">
        <v>361</v>
      </c>
      <c r="D119" s="24" t="s">
        <v>63</v>
      </c>
      <c r="E119" s="25" t="s">
        <v>5</v>
      </c>
      <c r="F119" s="25" t="s">
        <v>64</v>
      </c>
      <c r="G119" s="26" t="s">
        <v>72</v>
      </c>
      <c r="H119" s="25" t="s">
        <v>375</v>
      </c>
      <c r="I119" s="27">
        <v>53.163</v>
      </c>
      <c r="J119" s="27">
        <v>19.23592</v>
      </c>
      <c r="K119" s="27">
        <v>73.13261</v>
      </c>
      <c r="L119" s="25" t="s">
        <v>66</v>
      </c>
      <c r="M119" s="25"/>
      <c r="N119" s="25" t="s">
        <v>81</v>
      </c>
      <c r="O119" s="25" t="s">
        <v>68</v>
      </c>
      <c r="P119" s="25"/>
      <c r="Q119" s="27">
        <v>1.0</v>
      </c>
      <c r="R119" s="27">
        <v>0.0</v>
      </c>
      <c r="S119" s="27">
        <v>0.0</v>
      </c>
      <c r="T119" s="27">
        <v>0.0</v>
      </c>
      <c r="U119" s="27">
        <v>0.0</v>
      </c>
      <c r="V119" s="27">
        <v>1.0</v>
      </c>
      <c r="W119" s="27">
        <v>0.0</v>
      </c>
      <c r="X119" s="27">
        <v>1.0</v>
      </c>
      <c r="Y119" s="27">
        <v>0.0</v>
      </c>
      <c r="Z119" s="25" t="s">
        <v>376</v>
      </c>
      <c r="AA119" s="25" t="s">
        <v>115</v>
      </c>
      <c r="AB119" s="25"/>
      <c r="AC119" s="27">
        <v>200.0</v>
      </c>
      <c r="AD119" s="25"/>
      <c r="AE119" s="27">
        <v>1.0</v>
      </c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5" max="5" width="23.38"/>
  </cols>
  <sheetData>
    <row r="1">
      <c r="A1" s="39" t="s">
        <v>377</v>
      </c>
      <c r="B1" s="39" t="s">
        <v>378</v>
      </c>
    </row>
    <row r="2">
      <c r="A2" s="40" t="s">
        <v>379</v>
      </c>
      <c r="B2" s="39" t="s">
        <v>112</v>
      </c>
    </row>
    <row r="3">
      <c r="A3" s="40" t="s">
        <v>380</v>
      </c>
      <c r="B3" s="39" t="s">
        <v>134</v>
      </c>
    </row>
    <row r="4">
      <c r="A4" s="40" t="s">
        <v>381</v>
      </c>
      <c r="B4" s="39" t="s">
        <v>143</v>
      </c>
    </row>
    <row r="5">
      <c r="A5" s="40" t="s">
        <v>382</v>
      </c>
      <c r="B5" s="39" t="s">
        <v>153</v>
      </c>
    </row>
    <row r="6">
      <c r="A6" s="40" t="s">
        <v>383</v>
      </c>
      <c r="B6" s="39" t="s">
        <v>167</v>
      </c>
    </row>
    <row r="7">
      <c r="A7" s="40" t="s">
        <v>384</v>
      </c>
      <c r="B7" s="39" t="s">
        <v>181</v>
      </c>
    </row>
    <row r="8">
      <c r="A8" s="40" t="s">
        <v>385</v>
      </c>
      <c r="B8" s="39" t="s">
        <v>201</v>
      </c>
    </row>
    <row r="9">
      <c r="A9" s="40" t="s">
        <v>386</v>
      </c>
      <c r="B9" s="39" t="s">
        <v>387</v>
      </c>
    </row>
    <row r="10">
      <c r="A10" s="40" t="s">
        <v>388</v>
      </c>
      <c r="B10" s="39" t="s">
        <v>239</v>
      </c>
    </row>
    <row r="11">
      <c r="A11" s="40" t="s">
        <v>389</v>
      </c>
      <c r="B11" s="39" t="s">
        <v>255</v>
      </c>
    </row>
    <row r="12">
      <c r="A12" s="40" t="s">
        <v>390</v>
      </c>
      <c r="B12" s="39" t="s">
        <v>272</v>
      </c>
    </row>
    <row r="13">
      <c r="A13" s="40" t="s">
        <v>391</v>
      </c>
      <c r="B13" s="39" t="s">
        <v>286</v>
      </c>
    </row>
    <row r="14">
      <c r="A14" s="40" t="s">
        <v>392</v>
      </c>
      <c r="B14" s="39" t="s">
        <v>306</v>
      </c>
    </row>
    <row r="15">
      <c r="A15" s="40" t="s">
        <v>393</v>
      </c>
      <c r="B15" s="39" t="s">
        <v>318</v>
      </c>
    </row>
    <row r="16">
      <c r="A16" s="40" t="s">
        <v>394</v>
      </c>
      <c r="B16" s="39" t="s">
        <v>346</v>
      </c>
    </row>
    <row r="17">
      <c r="A17" s="40" t="s">
        <v>395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</cols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2" t="s">
        <v>396</v>
      </c>
      <c r="B2" s="39" t="s">
        <v>360</v>
      </c>
      <c r="C2" s="39" t="s">
        <v>361</v>
      </c>
      <c r="D2" s="29" t="s">
        <v>63</v>
      </c>
      <c r="E2" s="39" t="s">
        <v>7</v>
      </c>
      <c r="F2" s="39" t="s">
        <v>397</v>
      </c>
      <c r="G2" s="2" t="s">
        <v>398</v>
      </c>
      <c r="H2" s="39" t="s">
        <v>399</v>
      </c>
      <c r="I2" s="39">
        <v>53.225</v>
      </c>
      <c r="J2" s="22">
        <v>19.23445</v>
      </c>
      <c r="K2" s="22">
        <v>73.1286</v>
      </c>
      <c r="L2" s="2" t="s">
        <v>66</v>
      </c>
      <c r="N2" s="2" t="s">
        <v>67</v>
      </c>
      <c r="O2" s="30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0.0</v>
      </c>
      <c r="W2" s="39">
        <v>0.0</v>
      </c>
      <c r="X2" s="39">
        <v>0.0</v>
      </c>
      <c r="Y2" s="39">
        <v>0.0</v>
      </c>
      <c r="AC2" s="39">
        <v>200.0</v>
      </c>
      <c r="AE2" s="39">
        <v>1.0</v>
      </c>
    </row>
    <row r="3">
      <c r="A3" s="2" t="s">
        <v>400</v>
      </c>
      <c r="B3" s="39" t="s">
        <v>360</v>
      </c>
      <c r="C3" s="39" t="s">
        <v>361</v>
      </c>
      <c r="D3" s="29" t="s">
        <v>63</v>
      </c>
      <c r="E3" s="39" t="s">
        <v>7</v>
      </c>
      <c r="F3" s="39" t="s">
        <v>397</v>
      </c>
      <c r="G3" s="2" t="s">
        <v>72</v>
      </c>
      <c r="H3" s="39" t="s">
        <v>401</v>
      </c>
      <c r="I3" s="40">
        <v>52.744</v>
      </c>
      <c r="J3" s="22">
        <v>19.23394</v>
      </c>
      <c r="K3" s="22">
        <v>73.12712</v>
      </c>
      <c r="L3" s="2" t="s">
        <v>66</v>
      </c>
      <c r="N3" s="2" t="s">
        <v>67</v>
      </c>
      <c r="O3" s="30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2.0</v>
      </c>
      <c r="Y3" s="39">
        <v>0.0</v>
      </c>
      <c r="Z3" s="30" t="s">
        <v>402</v>
      </c>
      <c r="AA3" s="30" t="s">
        <v>78</v>
      </c>
      <c r="AC3" s="39">
        <v>200.0</v>
      </c>
      <c r="AE3" s="39">
        <v>1.0</v>
      </c>
    </row>
    <row r="4">
      <c r="A4" s="2" t="s">
        <v>403</v>
      </c>
      <c r="B4" s="39" t="s">
        <v>360</v>
      </c>
      <c r="C4" s="39" t="s">
        <v>361</v>
      </c>
      <c r="D4" s="29" t="s">
        <v>63</v>
      </c>
      <c r="E4" s="39" t="s">
        <v>7</v>
      </c>
      <c r="F4" s="39" t="s">
        <v>397</v>
      </c>
      <c r="G4" s="2" t="s">
        <v>404</v>
      </c>
      <c r="H4" s="39" t="s">
        <v>405</v>
      </c>
      <c r="I4" s="40">
        <v>53.239</v>
      </c>
      <c r="J4" s="22">
        <v>19.23436</v>
      </c>
      <c r="K4" s="22">
        <v>73.12843</v>
      </c>
      <c r="L4" s="2" t="s">
        <v>66</v>
      </c>
      <c r="N4" s="39" t="s">
        <v>81</v>
      </c>
      <c r="O4" s="30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200.0</v>
      </c>
      <c r="AE4" s="39">
        <v>1.0</v>
      </c>
    </row>
    <row r="5">
      <c r="A5" s="2" t="s">
        <v>406</v>
      </c>
      <c r="B5" s="39" t="s">
        <v>360</v>
      </c>
      <c r="C5" s="39" t="s">
        <v>361</v>
      </c>
      <c r="D5" s="29" t="s">
        <v>63</v>
      </c>
      <c r="E5" s="39" t="s">
        <v>7</v>
      </c>
      <c r="F5" s="39" t="s">
        <v>397</v>
      </c>
      <c r="G5" s="2" t="s">
        <v>76</v>
      </c>
      <c r="H5" s="39" t="s">
        <v>407</v>
      </c>
      <c r="I5" s="40">
        <v>52.744</v>
      </c>
      <c r="J5" s="22">
        <v>19.23377</v>
      </c>
      <c r="K5" s="22">
        <v>73.12676</v>
      </c>
      <c r="L5" s="2" t="s">
        <v>66</v>
      </c>
      <c r="N5" s="2" t="s">
        <v>67</v>
      </c>
      <c r="O5" s="30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1.0</v>
      </c>
      <c r="X5" s="39">
        <v>0.0</v>
      </c>
      <c r="Y5" s="39">
        <v>0.0</v>
      </c>
      <c r="AC5" s="39">
        <v>200.0</v>
      </c>
      <c r="AE5" s="39">
        <v>1.0</v>
      </c>
    </row>
    <row r="6">
      <c r="A6" s="2" t="s">
        <v>408</v>
      </c>
      <c r="B6" s="39" t="s">
        <v>360</v>
      </c>
      <c r="C6" s="39" t="s">
        <v>361</v>
      </c>
      <c r="D6" s="29" t="s">
        <v>63</v>
      </c>
      <c r="E6" s="39" t="s">
        <v>7</v>
      </c>
      <c r="F6" s="39" t="s">
        <v>397</v>
      </c>
      <c r="G6" s="2" t="s">
        <v>80</v>
      </c>
      <c r="H6" s="39" t="s">
        <v>409</v>
      </c>
      <c r="I6" s="40">
        <v>52.744</v>
      </c>
      <c r="J6" s="22">
        <v>19.23397</v>
      </c>
      <c r="K6" s="22">
        <v>73.12755</v>
      </c>
      <c r="L6" s="2" t="s">
        <v>66</v>
      </c>
      <c r="N6" s="2" t="s">
        <v>67</v>
      </c>
      <c r="O6" s="30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1.0</v>
      </c>
      <c r="Y6" s="39">
        <v>1.0</v>
      </c>
      <c r="Z6" s="39" t="s">
        <v>410</v>
      </c>
      <c r="AA6" s="30" t="s">
        <v>411</v>
      </c>
      <c r="AC6" s="39">
        <v>200.0</v>
      </c>
      <c r="AE6" s="39">
        <v>1.0</v>
      </c>
    </row>
    <row r="7">
      <c r="A7" s="2" t="s">
        <v>412</v>
      </c>
      <c r="B7" s="39" t="s">
        <v>360</v>
      </c>
      <c r="C7" s="39" t="s">
        <v>361</v>
      </c>
      <c r="D7" s="29" t="s">
        <v>63</v>
      </c>
      <c r="E7" s="39" t="s">
        <v>7</v>
      </c>
      <c r="F7" s="39" t="s">
        <v>397</v>
      </c>
      <c r="G7" s="2" t="s">
        <v>85</v>
      </c>
      <c r="H7" s="39" t="s">
        <v>409</v>
      </c>
      <c r="I7" s="40">
        <v>52.744</v>
      </c>
      <c r="J7" s="22">
        <v>19.2339</v>
      </c>
      <c r="K7" s="22">
        <v>73.12755</v>
      </c>
      <c r="L7" s="2" t="s">
        <v>66</v>
      </c>
      <c r="N7" s="2" t="s">
        <v>67</v>
      </c>
      <c r="O7" s="30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1.0</v>
      </c>
      <c r="Z7" s="39" t="s">
        <v>413</v>
      </c>
      <c r="AA7" s="30" t="s">
        <v>97</v>
      </c>
      <c r="AC7" s="39">
        <v>200.0</v>
      </c>
      <c r="AE7" s="39">
        <v>1.0</v>
      </c>
    </row>
    <row r="8">
      <c r="A8" s="2" t="s">
        <v>414</v>
      </c>
      <c r="B8" s="39" t="s">
        <v>360</v>
      </c>
      <c r="C8" s="39" t="s">
        <v>361</v>
      </c>
      <c r="D8" s="29" t="s">
        <v>63</v>
      </c>
      <c r="E8" s="39" t="s">
        <v>7</v>
      </c>
      <c r="F8" s="39" t="s">
        <v>397</v>
      </c>
      <c r="G8" s="30" t="s">
        <v>415</v>
      </c>
      <c r="H8" s="39" t="s">
        <v>415</v>
      </c>
      <c r="I8" s="40">
        <v>52.374</v>
      </c>
      <c r="J8" s="22">
        <v>19.23304</v>
      </c>
      <c r="K8" s="22">
        <v>73.12459</v>
      </c>
      <c r="L8" s="2" t="s">
        <v>66</v>
      </c>
      <c r="N8" s="2" t="s">
        <v>67</v>
      </c>
      <c r="O8" s="30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1.0</v>
      </c>
      <c r="W8" s="39">
        <v>1.0</v>
      </c>
      <c r="X8" s="39">
        <v>1.0</v>
      </c>
      <c r="Y8" s="39">
        <v>0.0</v>
      </c>
      <c r="Z8" s="39" t="s">
        <v>416</v>
      </c>
      <c r="AA8" s="30" t="s">
        <v>115</v>
      </c>
      <c r="AC8" s="39">
        <v>200.0</v>
      </c>
      <c r="AE8" s="39">
        <v>1.0</v>
      </c>
    </row>
    <row r="9">
      <c r="A9" s="2" t="s">
        <v>417</v>
      </c>
      <c r="B9" s="39" t="s">
        <v>360</v>
      </c>
      <c r="C9" s="39" t="s">
        <v>361</v>
      </c>
      <c r="D9" s="29" t="s">
        <v>63</v>
      </c>
      <c r="E9" s="39" t="s">
        <v>7</v>
      </c>
      <c r="F9" s="39" t="s">
        <v>397</v>
      </c>
      <c r="G9" s="2" t="s">
        <v>418</v>
      </c>
      <c r="H9" s="2" t="s">
        <v>418</v>
      </c>
      <c r="I9" s="40">
        <v>52.039</v>
      </c>
      <c r="J9" s="22">
        <v>19.2321</v>
      </c>
      <c r="K9" s="22">
        <v>73.11799</v>
      </c>
      <c r="L9" s="2" t="s">
        <v>66</v>
      </c>
      <c r="N9" s="2" t="s">
        <v>67</v>
      </c>
      <c r="O9" s="30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1.0</v>
      </c>
      <c r="W9" s="39">
        <v>0.0</v>
      </c>
      <c r="X9" s="39">
        <v>0.0</v>
      </c>
      <c r="Y9" s="39">
        <v>1.0</v>
      </c>
      <c r="Z9" s="39" t="s">
        <v>419</v>
      </c>
      <c r="AA9" s="30" t="s">
        <v>97</v>
      </c>
      <c r="AC9" s="39">
        <v>600.0</v>
      </c>
      <c r="AE9" s="39">
        <v>1.0</v>
      </c>
    </row>
    <row r="10">
      <c r="A10" s="2" t="s">
        <v>420</v>
      </c>
      <c r="D10" s="29" t="s">
        <v>63</v>
      </c>
      <c r="E10" s="39" t="s">
        <v>7</v>
      </c>
      <c r="F10" s="39" t="s">
        <v>397</v>
      </c>
      <c r="G10" s="2" t="s">
        <v>421</v>
      </c>
      <c r="H10" s="2" t="s">
        <v>421</v>
      </c>
      <c r="I10" s="40">
        <v>51.681</v>
      </c>
      <c r="J10" s="22">
        <v>19.23057</v>
      </c>
      <c r="K10" s="22">
        <v>73.11178</v>
      </c>
      <c r="L10" s="2" t="s">
        <v>102</v>
      </c>
      <c r="N10" s="2" t="s">
        <v>67</v>
      </c>
      <c r="O10" s="30" t="s">
        <v>67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300.0</v>
      </c>
      <c r="AE10" s="39">
        <v>1.0</v>
      </c>
    </row>
    <row r="11">
      <c r="A11" s="2" t="s">
        <v>422</v>
      </c>
      <c r="D11" s="29" t="s">
        <v>63</v>
      </c>
      <c r="E11" s="39" t="s">
        <v>7</v>
      </c>
      <c r="F11" s="39" t="s">
        <v>397</v>
      </c>
      <c r="G11" s="2" t="s">
        <v>423</v>
      </c>
      <c r="H11" s="2" t="s">
        <v>423</v>
      </c>
      <c r="I11" s="40">
        <v>51.141</v>
      </c>
      <c r="J11" s="22">
        <v>19.22916</v>
      </c>
      <c r="K11" s="22">
        <v>73.10745</v>
      </c>
      <c r="L11" s="2" t="s">
        <v>102</v>
      </c>
      <c r="N11" s="2" t="s">
        <v>67</v>
      </c>
      <c r="O11" s="30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300.0</v>
      </c>
      <c r="AE11" s="39">
        <v>1.0</v>
      </c>
    </row>
    <row r="12">
      <c r="A12" s="2" t="s">
        <v>424</v>
      </c>
      <c r="D12" s="29" t="s">
        <v>63</v>
      </c>
      <c r="E12" s="39" t="s">
        <v>7</v>
      </c>
      <c r="F12" s="39" t="s">
        <v>397</v>
      </c>
      <c r="G12" s="2" t="s">
        <v>425</v>
      </c>
      <c r="H12" s="2" t="s">
        <v>425</v>
      </c>
      <c r="I12" s="40">
        <v>50.641</v>
      </c>
      <c r="J12" s="22">
        <v>19.22792</v>
      </c>
      <c r="K12" s="22">
        <v>73.10359</v>
      </c>
      <c r="L12" s="2" t="s">
        <v>102</v>
      </c>
      <c r="N12" s="2" t="s">
        <v>67</v>
      </c>
      <c r="O12" s="30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300.0</v>
      </c>
      <c r="AE12" s="39">
        <v>1.0</v>
      </c>
    </row>
    <row r="13">
      <c r="A13" s="2" t="s">
        <v>426</v>
      </c>
      <c r="D13" s="29" t="s">
        <v>63</v>
      </c>
      <c r="E13" s="39" t="s">
        <v>7</v>
      </c>
      <c r="F13" s="39" t="s">
        <v>397</v>
      </c>
      <c r="G13" s="2" t="s">
        <v>427</v>
      </c>
      <c r="H13" s="2" t="s">
        <v>427</v>
      </c>
      <c r="I13" s="40">
        <v>50.227</v>
      </c>
      <c r="J13" s="22">
        <v>19.2266</v>
      </c>
      <c r="K13" s="22">
        <v>73.09961</v>
      </c>
      <c r="L13" s="2" t="s">
        <v>102</v>
      </c>
      <c r="N13" s="2" t="s">
        <v>67</v>
      </c>
      <c r="O13" s="30" t="s">
        <v>67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300.0</v>
      </c>
      <c r="AE13" s="39">
        <v>1.0</v>
      </c>
    </row>
    <row r="14">
      <c r="A14" s="2" t="s">
        <v>428</v>
      </c>
      <c r="D14" s="29" t="s">
        <v>63</v>
      </c>
      <c r="E14" s="39" t="s">
        <v>7</v>
      </c>
      <c r="F14" s="39" t="s">
        <v>397</v>
      </c>
      <c r="G14" s="2" t="s">
        <v>429</v>
      </c>
      <c r="H14" s="2" t="s">
        <v>429</v>
      </c>
      <c r="I14" s="40">
        <v>49.867</v>
      </c>
      <c r="J14" s="22">
        <v>19.22428</v>
      </c>
      <c r="K14" s="22">
        <v>73.09509</v>
      </c>
      <c r="L14" s="2" t="s">
        <v>102</v>
      </c>
      <c r="N14" s="2" t="s">
        <v>67</v>
      </c>
      <c r="O14" s="30" t="s">
        <v>67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300.0</v>
      </c>
      <c r="AE14" s="39">
        <v>1.0</v>
      </c>
    </row>
    <row r="15">
      <c r="A15" s="2" t="s">
        <v>430</v>
      </c>
      <c r="D15" s="29" t="s">
        <v>63</v>
      </c>
      <c r="E15" s="39" t="s">
        <v>7</v>
      </c>
      <c r="F15" s="39" t="s">
        <v>397</v>
      </c>
      <c r="G15" s="2" t="s">
        <v>431</v>
      </c>
      <c r="H15" s="2" t="s">
        <v>431</v>
      </c>
      <c r="I15" s="40">
        <v>49.098</v>
      </c>
      <c r="J15" s="22">
        <v>19.22205</v>
      </c>
      <c r="K15" s="22">
        <v>73.09221</v>
      </c>
      <c r="L15" s="2" t="s">
        <v>102</v>
      </c>
      <c r="N15" s="2" t="s">
        <v>67</v>
      </c>
      <c r="O15" s="30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300.0</v>
      </c>
      <c r="AE15" s="39">
        <v>1.0</v>
      </c>
    </row>
    <row r="16">
      <c r="A16" s="2" t="s">
        <v>432</v>
      </c>
      <c r="B16" s="39" t="s">
        <v>343</v>
      </c>
      <c r="C16" s="39" t="s">
        <v>344</v>
      </c>
      <c r="D16" s="29" t="s">
        <v>63</v>
      </c>
      <c r="E16" s="39" t="s">
        <v>7</v>
      </c>
      <c r="F16" s="39" t="s">
        <v>397</v>
      </c>
      <c r="G16" s="2" t="s">
        <v>433</v>
      </c>
      <c r="H16" s="2" t="s">
        <v>433</v>
      </c>
      <c r="I16" s="40">
        <v>48.568</v>
      </c>
      <c r="J16" s="22">
        <v>19.21938</v>
      </c>
      <c r="K16" s="22">
        <v>73.08876</v>
      </c>
      <c r="L16" s="2" t="s">
        <v>66</v>
      </c>
      <c r="N16" s="2" t="s">
        <v>67</v>
      </c>
      <c r="O16" s="30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200.0</v>
      </c>
      <c r="AE16" s="39">
        <v>1.0</v>
      </c>
    </row>
    <row r="17">
      <c r="A17" s="2" t="s">
        <v>434</v>
      </c>
      <c r="B17" s="39" t="s">
        <v>343</v>
      </c>
      <c r="C17" s="39" t="s">
        <v>344</v>
      </c>
      <c r="D17" s="29" t="s">
        <v>63</v>
      </c>
      <c r="E17" s="39" t="s">
        <v>7</v>
      </c>
      <c r="F17" s="39" t="s">
        <v>397</v>
      </c>
      <c r="G17" s="2" t="s">
        <v>76</v>
      </c>
      <c r="I17" s="40">
        <v>48.223</v>
      </c>
      <c r="J17" s="22">
        <v>19.21649</v>
      </c>
      <c r="K17" s="22">
        <v>73.08484</v>
      </c>
      <c r="L17" s="2" t="s">
        <v>66</v>
      </c>
      <c r="N17" s="2" t="s">
        <v>67</v>
      </c>
      <c r="O17" s="30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1.0</v>
      </c>
      <c r="W17" s="39">
        <v>0.0</v>
      </c>
      <c r="X17" s="39">
        <v>1.0</v>
      </c>
      <c r="Y17" s="39">
        <v>0.0</v>
      </c>
      <c r="Z17" s="39" t="s">
        <v>435</v>
      </c>
      <c r="AA17" s="30" t="s">
        <v>115</v>
      </c>
      <c r="AC17" s="39">
        <v>300.0</v>
      </c>
      <c r="AE17" s="39">
        <v>1.0</v>
      </c>
    </row>
    <row r="18">
      <c r="A18" s="2" t="s">
        <v>436</v>
      </c>
      <c r="D18" s="29" t="s">
        <v>63</v>
      </c>
      <c r="E18" s="39" t="s">
        <v>7</v>
      </c>
      <c r="F18" s="39" t="s">
        <v>397</v>
      </c>
      <c r="G18" s="2" t="s">
        <v>437</v>
      </c>
      <c r="H18" s="2" t="s">
        <v>437</v>
      </c>
      <c r="I18" s="40">
        <v>47.883</v>
      </c>
      <c r="J18" s="22">
        <v>19.21478</v>
      </c>
      <c r="K18" s="22">
        <v>73.08255</v>
      </c>
      <c r="L18" s="2" t="s">
        <v>102</v>
      </c>
      <c r="N18" s="2" t="s">
        <v>67</v>
      </c>
      <c r="O18" s="30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200.0</v>
      </c>
      <c r="AE18" s="39">
        <v>1.0</v>
      </c>
    </row>
    <row r="19">
      <c r="A19" s="2" t="s">
        <v>438</v>
      </c>
      <c r="D19" s="29" t="s">
        <v>63</v>
      </c>
      <c r="E19" s="39" t="s">
        <v>7</v>
      </c>
      <c r="F19" s="39" t="s">
        <v>397</v>
      </c>
      <c r="G19" s="2" t="s">
        <v>439</v>
      </c>
      <c r="H19" s="2" t="s">
        <v>439</v>
      </c>
      <c r="I19" s="40">
        <v>47.383</v>
      </c>
      <c r="J19" s="22">
        <v>19.21261</v>
      </c>
      <c r="K19" s="22">
        <v>73.07968</v>
      </c>
      <c r="L19" s="2" t="s">
        <v>102</v>
      </c>
      <c r="N19" s="2" t="s">
        <v>67</v>
      </c>
      <c r="O19" s="30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200.0</v>
      </c>
      <c r="AE19" s="39">
        <v>1.0</v>
      </c>
    </row>
    <row r="20">
      <c r="A20" s="2" t="s">
        <v>440</v>
      </c>
      <c r="D20" s="29" t="s">
        <v>63</v>
      </c>
      <c r="E20" s="39" t="s">
        <v>7</v>
      </c>
      <c r="F20" s="39" t="s">
        <v>397</v>
      </c>
      <c r="G20" s="2" t="s">
        <v>441</v>
      </c>
      <c r="H20" s="2" t="s">
        <v>441</v>
      </c>
      <c r="I20" s="40">
        <v>46.71</v>
      </c>
      <c r="J20" s="22">
        <v>19.20887</v>
      </c>
      <c r="K20" s="22">
        <v>73.07471</v>
      </c>
      <c r="L20" s="2" t="s">
        <v>102</v>
      </c>
      <c r="N20" s="2" t="s">
        <v>67</v>
      </c>
      <c r="O20" s="30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500.0</v>
      </c>
      <c r="AE20" s="39">
        <v>1.0</v>
      </c>
    </row>
    <row r="21">
      <c r="A21" s="2" t="s">
        <v>442</v>
      </c>
      <c r="D21" s="29" t="s">
        <v>63</v>
      </c>
      <c r="E21" s="39" t="s">
        <v>7</v>
      </c>
      <c r="F21" s="39" t="s">
        <v>397</v>
      </c>
      <c r="G21" s="2" t="s">
        <v>443</v>
      </c>
      <c r="H21" s="2" t="s">
        <v>443</v>
      </c>
      <c r="I21" s="40">
        <v>46.01</v>
      </c>
      <c r="J21" s="22">
        <v>19.20517</v>
      </c>
      <c r="K21" s="22">
        <v>73.06983</v>
      </c>
      <c r="L21" s="2" t="s">
        <v>102</v>
      </c>
      <c r="N21" s="2" t="s">
        <v>67</v>
      </c>
      <c r="O21" s="30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300.0</v>
      </c>
      <c r="AE21" s="39">
        <v>1.0</v>
      </c>
    </row>
    <row r="22">
      <c r="A22" s="2" t="s">
        <v>444</v>
      </c>
      <c r="D22" s="29" t="s">
        <v>63</v>
      </c>
      <c r="E22" s="39" t="s">
        <v>7</v>
      </c>
      <c r="F22" s="39" t="s">
        <v>397</v>
      </c>
      <c r="G22" s="2" t="s">
        <v>445</v>
      </c>
      <c r="H22" s="2" t="s">
        <v>445</v>
      </c>
      <c r="I22" s="40">
        <v>45.31</v>
      </c>
      <c r="J22" s="22">
        <v>19.20317</v>
      </c>
      <c r="K22" s="22">
        <v>73.06715</v>
      </c>
      <c r="L22" s="2" t="s">
        <v>102</v>
      </c>
      <c r="N22" s="2" t="s">
        <v>67</v>
      </c>
      <c r="O22" s="30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300.0</v>
      </c>
      <c r="AE22" s="39">
        <v>1.0</v>
      </c>
    </row>
    <row r="23">
      <c r="A23" s="2" t="s">
        <v>446</v>
      </c>
      <c r="D23" s="29" t="s">
        <v>63</v>
      </c>
      <c r="E23" s="39" t="s">
        <v>7</v>
      </c>
      <c r="F23" s="39" t="s">
        <v>397</v>
      </c>
      <c r="G23" s="2" t="s">
        <v>447</v>
      </c>
      <c r="H23" s="2" t="s">
        <v>447</v>
      </c>
      <c r="I23" s="40">
        <v>44.922</v>
      </c>
      <c r="J23" s="22">
        <v>19.20099</v>
      </c>
      <c r="K23" s="22">
        <v>73.06426</v>
      </c>
      <c r="L23" s="2" t="s">
        <v>102</v>
      </c>
      <c r="N23" s="2" t="s">
        <v>67</v>
      </c>
      <c r="O23" s="30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200.0</v>
      </c>
      <c r="AE23" s="39">
        <v>1.0</v>
      </c>
    </row>
    <row r="24">
      <c r="A24" s="2" t="s">
        <v>448</v>
      </c>
      <c r="D24" s="29" t="s">
        <v>63</v>
      </c>
      <c r="E24" s="39" t="s">
        <v>7</v>
      </c>
      <c r="F24" s="39" t="s">
        <v>397</v>
      </c>
      <c r="G24" s="2" t="s">
        <v>449</v>
      </c>
      <c r="H24" s="2" t="s">
        <v>449</v>
      </c>
      <c r="I24" s="40">
        <v>44.65</v>
      </c>
      <c r="J24" s="22">
        <v>19.1988</v>
      </c>
      <c r="K24" s="22">
        <v>73.06134</v>
      </c>
      <c r="L24" s="2" t="s">
        <v>102</v>
      </c>
      <c r="N24" s="2" t="s">
        <v>67</v>
      </c>
      <c r="O24" s="30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200.0</v>
      </c>
      <c r="AE24" s="39">
        <v>1.0</v>
      </c>
    </row>
    <row r="25">
      <c r="A25" s="2" t="s">
        <v>450</v>
      </c>
      <c r="D25" s="29" t="s">
        <v>63</v>
      </c>
      <c r="E25" s="39" t="s">
        <v>7</v>
      </c>
      <c r="F25" s="39" t="s">
        <v>397</v>
      </c>
      <c r="G25" s="2" t="s">
        <v>451</v>
      </c>
      <c r="H25" s="2" t="s">
        <v>451</v>
      </c>
      <c r="I25" s="40">
        <v>44.415</v>
      </c>
      <c r="J25" s="22">
        <v>19.1966</v>
      </c>
      <c r="K25" s="22">
        <v>73.05842</v>
      </c>
      <c r="L25" s="2" t="s">
        <v>102</v>
      </c>
      <c r="N25" s="2" t="s">
        <v>67</v>
      </c>
      <c r="O25" s="30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250.0</v>
      </c>
      <c r="AE25" s="39">
        <v>1.0</v>
      </c>
    </row>
    <row r="26">
      <c r="A26" s="2" t="s">
        <v>452</v>
      </c>
      <c r="D26" s="29" t="s">
        <v>63</v>
      </c>
      <c r="E26" s="39" t="s">
        <v>7</v>
      </c>
      <c r="F26" s="39" t="s">
        <v>397</v>
      </c>
      <c r="G26" s="2" t="s">
        <v>453</v>
      </c>
      <c r="H26" s="2" t="s">
        <v>453</v>
      </c>
      <c r="I26" s="40">
        <v>44.148</v>
      </c>
      <c r="J26" s="22">
        <v>19.19456</v>
      </c>
      <c r="K26" s="22">
        <v>73.05543</v>
      </c>
      <c r="L26" s="2" t="s">
        <v>102</v>
      </c>
      <c r="N26" s="2" t="s">
        <v>67</v>
      </c>
      <c r="O26" s="30" t="s">
        <v>81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200.0</v>
      </c>
      <c r="AE26" s="39">
        <v>1.0</v>
      </c>
    </row>
    <row r="27">
      <c r="A27" s="2" t="s">
        <v>454</v>
      </c>
      <c r="D27" s="29" t="s">
        <v>63</v>
      </c>
      <c r="E27" s="39" t="s">
        <v>7</v>
      </c>
      <c r="F27" s="39" t="s">
        <v>397</v>
      </c>
      <c r="G27" s="2" t="s">
        <v>455</v>
      </c>
      <c r="H27" s="2" t="s">
        <v>455</v>
      </c>
      <c r="I27" s="40">
        <v>43.689</v>
      </c>
      <c r="J27" s="22">
        <v>19.19319</v>
      </c>
      <c r="K27" s="22">
        <v>73.05255</v>
      </c>
      <c r="L27" s="2" t="s">
        <v>102</v>
      </c>
      <c r="N27" s="2" t="s">
        <v>67</v>
      </c>
      <c r="O27" s="30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200.0</v>
      </c>
      <c r="AE27" s="39">
        <v>1.0</v>
      </c>
    </row>
    <row r="28">
      <c r="A28" s="2" t="s">
        <v>456</v>
      </c>
      <c r="B28" s="39" t="s">
        <v>312</v>
      </c>
      <c r="C28" s="39" t="s">
        <v>312</v>
      </c>
      <c r="D28" s="29" t="s">
        <v>63</v>
      </c>
      <c r="E28" s="39" t="s">
        <v>7</v>
      </c>
      <c r="F28" s="39" t="s">
        <v>397</v>
      </c>
      <c r="G28" s="2" t="s">
        <v>457</v>
      </c>
      <c r="H28" s="2" t="s">
        <v>457</v>
      </c>
      <c r="I28" s="40">
        <v>43.321</v>
      </c>
      <c r="J28" s="22">
        <v>19.19136</v>
      </c>
      <c r="K28" s="22">
        <v>73.04845</v>
      </c>
      <c r="L28" s="2" t="s">
        <v>66</v>
      </c>
      <c r="N28" s="2" t="s">
        <v>67</v>
      </c>
      <c r="O28" s="30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200.0</v>
      </c>
      <c r="AE28" s="39">
        <v>1.0</v>
      </c>
    </row>
    <row r="29">
      <c r="A29" s="2" t="s">
        <v>458</v>
      </c>
      <c r="B29" s="39" t="s">
        <v>312</v>
      </c>
      <c r="C29" s="39" t="s">
        <v>312</v>
      </c>
      <c r="D29" s="29" t="s">
        <v>63</v>
      </c>
      <c r="E29" s="39" t="s">
        <v>7</v>
      </c>
      <c r="F29" s="39" t="s">
        <v>397</v>
      </c>
      <c r="G29" s="2" t="s">
        <v>459</v>
      </c>
      <c r="H29" s="2" t="s">
        <v>459</v>
      </c>
      <c r="I29" s="40">
        <v>42.803</v>
      </c>
      <c r="J29" s="22">
        <v>19.18984</v>
      </c>
      <c r="K29" s="22">
        <v>73.04505</v>
      </c>
      <c r="L29" s="2" t="s">
        <v>66</v>
      </c>
      <c r="N29" s="2" t="s">
        <v>67</v>
      </c>
      <c r="O29" s="30" t="s">
        <v>68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200.0</v>
      </c>
      <c r="AE29" s="39">
        <v>1.0</v>
      </c>
    </row>
    <row r="30">
      <c r="A30" s="2" t="s">
        <v>460</v>
      </c>
      <c r="B30" s="39" t="s">
        <v>312</v>
      </c>
      <c r="C30" s="39" t="s">
        <v>312</v>
      </c>
      <c r="D30" s="29" t="s">
        <v>63</v>
      </c>
      <c r="E30" s="39" t="s">
        <v>7</v>
      </c>
      <c r="F30" s="39" t="s">
        <v>397</v>
      </c>
      <c r="G30" s="2" t="s">
        <v>72</v>
      </c>
      <c r="H30" s="39" t="s">
        <v>461</v>
      </c>
      <c r="I30" s="40">
        <v>42.212</v>
      </c>
      <c r="J30" s="22">
        <v>19.18814</v>
      </c>
      <c r="K30" s="22">
        <v>73.04104</v>
      </c>
      <c r="L30" s="2" t="s">
        <v>66</v>
      </c>
      <c r="N30" s="39" t="s">
        <v>81</v>
      </c>
      <c r="O30" s="30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1.0</v>
      </c>
      <c r="X30" s="39">
        <v>0.0</v>
      </c>
      <c r="Y30" s="39">
        <v>0.0</v>
      </c>
      <c r="AC30" s="39">
        <v>200.0</v>
      </c>
      <c r="AE30" s="39">
        <v>1.0</v>
      </c>
    </row>
    <row r="31">
      <c r="A31" s="2" t="s">
        <v>462</v>
      </c>
      <c r="B31" s="39" t="s">
        <v>312</v>
      </c>
      <c r="C31" s="39" t="s">
        <v>312</v>
      </c>
      <c r="D31" s="29" t="s">
        <v>63</v>
      </c>
      <c r="E31" s="39" t="s">
        <v>7</v>
      </c>
      <c r="F31" s="39" t="s">
        <v>397</v>
      </c>
      <c r="G31" s="2" t="s">
        <v>463</v>
      </c>
      <c r="H31" s="2" t="s">
        <v>463</v>
      </c>
      <c r="I31" s="40">
        <v>41.766</v>
      </c>
      <c r="J31" s="22">
        <v>19.18685</v>
      </c>
      <c r="K31" s="22">
        <v>73.03816</v>
      </c>
      <c r="L31" s="2" t="s">
        <v>66</v>
      </c>
      <c r="N31" s="2" t="s">
        <v>67</v>
      </c>
      <c r="O31" s="30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1.0</v>
      </c>
      <c r="W31" s="39">
        <v>1.0</v>
      </c>
      <c r="X31" s="39">
        <v>1.0</v>
      </c>
      <c r="Y31" s="39">
        <v>1.0</v>
      </c>
      <c r="Z31" s="39" t="s">
        <v>464</v>
      </c>
      <c r="AA31" s="30" t="s">
        <v>411</v>
      </c>
      <c r="AC31" s="39">
        <v>200.0</v>
      </c>
      <c r="AE31" s="39">
        <v>1.0</v>
      </c>
    </row>
    <row r="32">
      <c r="A32" s="2" t="s">
        <v>465</v>
      </c>
      <c r="B32" s="39" t="s">
        <v>312</v>
      </c>
      <c r="C32" s="39" t="s">
        <v>312</v>
      </c>
      <c r="D32" s="29" t="s">
        <v>63</v>
      </c>
      <c r="E32" s="39" t="s">
        <v>7</v>
      </c>
      <c r="F32" s="39" t="s">
        <v>397</v>
      </c>
      <c r="G32" s="2" t="s">
        <v>466</v>
      </c>
      <c r="H32" s="2" t="s">
        <v>466</v>
      </c>
      <c r="I32" s="40">
        <v>41.416</v>
      </c>
      <c r="J32" s="22">
        <v>19.18521</v>
      </c>
      <c r="K32" s="22">
        <v>73.03436</v>
      </c>
      <c r="L32" s="2" t="s">
        <v>66</v>
      </c>
      <c r="N32" s="39" t="s">
        <v>119</v>
      </c>
      <c r="O32" s="30" t="s">
        <v>68</v>
      </c>
      <c r="Q32" s="39">
        <v>0.0</v>
      </c>
      <c r="R32" s="39">
        <v>1.0</v>
      </c>
      <c r="S32" s="39">
        <v>0.0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C32" s="39">
        <v>200.0</v>
      </c>
      <c r="AE32" s="39">
        <v>1.0</v>
      </c>
    </row>
    <row r="33">
      <c r="A33" s="2" t="s">
        <v>467</v>
      </c>
      <c r="D33" s="29" t="s">
        <v>63</v>
      </c>
      <c r="E33" s="39" t="s">
        <v>7</v>
      </c>
      <c r="F33" s="39" t="s">
        <v>397</v>
      </c>
      <c r="G33" s="2" t="s">
        <v>468</v>
      </c>
      <c r="H33" s="2" t="s">
        <v>468</v>
      </c>
      <c r="I33" s="40">
        <v>41.026</v>
      </c>
      <c r="J33" s="22">
        <v>19.18436</v>
      </c>
      <c r="K33" s="22">
        <v>73.03009</v>
      </c>
      <c r="L33" s="2" t="s">
        <v>102</v>
      </c>
      <c r="N33" s="39" t="s">
        <v>119</v>
      </c>
      <c r="O33" s="30" t="s">
        <v>81</v>
      </c>
      <c r="Q33" s="39">
        <v>0.0</v>
      </c>
      <c r="R33" s="39">
        <v>1.0</v>
      </c>
      <c r="S33" s="39">
        <v>0.0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200.0</v>
      </c>
      <c r="AE33" s="39">
        <v>1.0</v>
      </c>
    </row>
    <row r="34">
      <c r="A34" s="2" t="s">
        <v>469</v>
      </c>
      <c r="D34" s="29" t="s">
        <v>63</v>
      </c>
      <c r="E34" s="39" t="s">
        <v>7</v>
      </c>
      <c r="F34" s="39" t="s">
        <v>397</v>
      </c>
      <c r="G34" s="2" t="s">
        <v>470</v>
      </c>
      <c r="H34" s="2" t="s">
        <v>470</v>
      </c>
      <c r="I34" s="40">
        <v>40.636</v>
      </c>
      <c r="J34" s="22">
        <v>19.18525</v>
      </c>
      <c r="K34" s="22">
        <v>73.02687</v>
      </c>
      <c r="L34" s="2" t="s">
        <v>102</v>
      </c>
      <c r="N34" s="2" t="s">
        <v>67</v>
      </c>
      <c r="O34" s="30" t="s">
        <v>81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200.0</v>
      </c>
      <c r="AE34" s="39">
        <v>1.0</v>
      </c>
    </row>
    <row r="35">
      <c r="A35" s="2" t="s">
        <v>471</v>
      </c>
      <c r="D35" s="29" t="s">
        <v>63</v>
      </c>
      <c r="E35" s="39" t="s">
        <v>7</v>
      </c>
      <c r="F35" s="39" t="s">
        <v>397</v>
      </c>
      <c r="G35" s="2" t="s">
        <v>472</v>
      </c>
      <c r="H35" s="2" t="s">
        <v>472</v>
      </c>
      <c r="I35" s="40">
        <v>40.23</v>
      </c>
      <c r="J35" s="22">
        <v>19.19157</v>
      </c>
      <c r="K35" s="22">
        <v>73.02307</v>
      </c>
      <c r="L35" s="2" t="s">
        <v>102</v>
      </c>
      <c r="N35" s="2" t="s">
        <v>67</v>
      </c>
      <c r="O35" s="30" t="s">
        <v>81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200.0</v>
      </c>
      <c r="AE35" s="39">
        <v>1.0</v>
      </c>
    </row>
    <row r="36">
      <c r="A36" s="2" t="s">
        <v>473</v>
      </c>
      <c r="D36" s="29" t="s">
        <v>63</v>
      </c>
      <c r="E36" s="39" t="s">
        <v>7</v>
      </c>
      <c r="F36" s="39" t="s">
        <v>397</v>
      </c>
      <c r="G36" s="2" t="s">
        <v>474</v>
      </c>
      <c r="H36" s="2" t="s">
        <v>474</v>
      </c>
      <c r="I36" s="40">
        <v>39.564</v>
      </c>
      <c r="J36" s="22">
        <v>19.19581</v>
      </c>
      <c r="K36" s="22">
        <v>73.02323</v>
      </c>
      <c r="L36" s="2" t="s">
        <v>102</v>
      </c>
      <c r="N36" s="39" t="s">
        <v>119</v>
      </c>
      <c r="O36" s="30" t="s">
        <v>68</v>
      </c>
      <c r="Q36" s="39">
        <v>0.0</v>
      </c>
      <c r="R36" s="39">
        <v>1.0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200.0</v>
      </c>
      <c r="AE36" s="39">
        <v>1.0</v>
      </c>
    </row>
    <row r="37">
      <c r="A37" s="2" t="s">
        <v>475</v>
      </c>
      <c r="D37" s="29" t="s">
        <v>63</v>
      </c>
      <c r="E37" s="39" t="s">
        <v>7</v>
      </c>
      <c r="F37" s="39" t="s">
        <v>397</v>
      </c>
      <c r="G37" s="2" t="s">
        <v>476</v>
      </c>
      <c r="H37" s="2" t="s">
        <v>476</v>
      </c>
      <c r="I37" s="40">
        <v>38.917</v>
      </c>
      <c r="J37" s="22">
        <v>19.20096</v>
      </c>
      <c r="K37" s="22">
        <v>73.02163</v>
      </c>
      <c r="L37" s="2" t="s">
        <v>102</v>
      </c>
      <c r="N37" s="39" t="s">
        <v>119</v>
      </c>
      <c r="O37" s="30" t="s">
        <v>67</v>
      </c>
      <c r="Q37" s="39">
        <v>0.0</v>
      </c>
      <c r="R37" s="39">
        <v>1.0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200.0</v>
      </c>
      <c r="AE37" s="39">
        <v>1.0</v>
      </c>
    </row>
    <row r="38">
      <c r="A38" s="2" t="s">
        <v>477</v>
      </c>
      <c r="D38" s="29" t="s">
        <v>63</v>
      </c>
      <c r="E38" s="39" t="s">
        <v>7</v>
      </c>
      <c r="F38" s="39" t="s">
        <v>397</v>
      </c>
      <c r="G38" s="2" t="s">
        <v>478</v>
      </c>
      <c r="H38" s="2" t="s">
        <v>478</v>
      </c>
      <c r="I38" s="40">
        <v>38.446</v>
      </c>
      <c r="J38" s="22">
        <v>19.20408</v>
      </c>
      <c r="K38" s="22">
        <v>73.01888</v>
      </c>
      <c r="L38" s="2" t="s">
        <v>102</v>
      </c>
      <c r="N38" s="2" t="s">
        <v>67</v>
      </c>
      <c r="O38" s="30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200.0</v>
      </c>
      <c r="AE38" s="39">
        <v>1.0</v>
      </c>
    </row>
    <row r="39">
      <c r="A39" s="2" t="s">
        <v>479</v>
      </c>
      <c r="D39" s="29" t="s">
        <v>63</v>
      </c>
      <c r="E39" s="39" t="s">
        <v>7</v>
      </c>
      <c r="F39" s="39" t="s">
        <v>397</v>
      </c>
      <c r="G39" s="2" t="s">
        <v>480</v>
      </c>
      <c r="H39" s="2" t="s">
        <v>480</v>
      </c>
      <c r="I39" s="40">
        <v>37.751</v>
      </c>
      <c r="J39" s="22">
        <v>19.2058</v>
      </c>
      <c r="K39" s="22">
        <v>73.01551</v>
      </c>
      <c r="L39" s="2" t="s">
        <v>102</v>
      </c>
      <c r="N39" s="2" t="s">
        <v>67</v>
      </c>
      <c r="O39" s="30" t="s">
        <v>67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200.0</v>
      </c>
      <c r="AE39" s="39">
        <v>1.0</v>
      </c>
    </row>
    <row r="40">
      <c r="A40" s="2" t="s">
        <v>481</v>
      </c>
      <c r="D40" s="29" t="s">
        <v>63</v>
      </c>
      <c r="E40" s="39" t="s">
        <v>7</v>
      </c>
      <c r="F40" s="39" t="s">
        <v>397</v>
      </c>
      <c r="G40" s="2" t="s">
        <v>482</v>
      </c>
      <c r="H40" s="2" t="s">
        <v>482</v>
      </c>
      <c r="I40" s="40">
        <v>37.164</v>
      </c>
      <c r="J40" s="22">
        <v>19.20521</v>
      </c>
      <c r="K40" s="22">
        <v>73.00945</v>
      </c>
      <c r="L40" s="2" t="s">
        <v>102</v>
      </c>
      <c r="N40" s="2" t="s">
        <v>67</v>
      </c>
      <c r="O40" s="30" t="s">
        <v>67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200.0</v>
      </c>
      <c r="AE40" s="39">
        <v>1.0</v>
      </c>
    </row>
    <row r="41">
      <c r="A41" s="2" t="s">
        <v>483</v>
      </c>
      <c r="D41" s="29" t="s">
        <v>63</v>
      </c>
      <c r="E41" s="39" t="s">
        <v>7</v>
      </c>
      <c r="F41" s="39" t="s">
        <v>397</v>
      </c>
      <c r="G41" s="2" t="s">
        <v>484</v>
      </c>
      <c r="H41" s="2" t="s">
        <v>484</v>
      </c>
      <c r="I41" s="40">
        <v>36.551</v>
      </c>
      <c r="J41" s="22">
        <v>19.20203</v>
      </c>
      <c r="K41" s="22">
        <v>73.00513</v>
      </c>
      <c r="L41" s="2" t="s">
        <v>102</v>
      </c>
      <c r="N41" s="2" t="s">
        <v>67</v>
      </c>
      <c r="O41" s="30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200.0</v>
      </c>
      <c r="AE41" s="39">
        <v>1.0</v>
      </c>
    </row>
    <row r="42">
      <c r="A42" s="2" t="s">
        <v>485</v>
      </c>
      <c r="D42" s="29" t="s">
        <v>63</v>
      </c>
      <c r="E42" s="39" t="s">
        <v>7</v>
      </c>
      <c r="F42" s="39" t="s">
        <v>397</v>
      </c>
      <c r="G42" s="2" t="s">
        <v>486</v>
      </c>
      <c r="H42" s="2" t="s">
        <v>486</v>
      </c>
      <c r="I42" s="40">
        <v>36.101</v>
      </c>
      <c r="J42" s="22">
        <v>19.19809</v>
      </c>
      <c r="K42" s="22">
        <v>73.00041</v>
      </c>
      <c r="L42" s="2" t="s">
        <v>102</v>
      </c>
      <c r="N42" s="2" t="s">
        <v>67</v>
      </c>
      <c r="O42" s="30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200.0</v>
      </c>
      <c r="AE42" s="39">
        <v>1.0</v>
      </c>
    </row>
    <row r="43">
      <c r="A43" s="2" t="s">
        <v>487</v>
      </c>
      <c r="D43" s="29" t="s">
        <v>63</v>
      </c>
      <c r="E43" s="39" t="s">
        <v>7</v>
      </c>
      <c r="F43" s="39" t="s">
        <v>397</v>
      </c>
      <c r="G43" s="2" t="s">
        <v>488</v>
      </c>
      <c r="H43" s="2" t="s">
        <v>488</v>
      </c>
      <c r="I43" s="40">
        <v>35.671</v>
      </c>
      <c r="J43" s="22">
        <v>19.19518</v>
      </c>
      <c r="K43" s="22">
        <v>72.99696</v>
      </c>
      <c r="L43" s="2" t="s">
        <v>102</v>
      </c>
      <c r="N43" s="2" t="s">
        <v>67</v>
      </c>
      <c r="O43" s="30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C43" s="39">
        <v>200.0</v>
      </c>
      <c r="AE43" s="39">
        <v>1.0</v>
      </c>
    </row>
    <row r="44">
      <c r="A44" s="2" t="s">
        <v>489</v>
      </c>
      <c r="D44" s="29" t="s">
        <v>63</v>
      </c>
      <c r="E44" s="39" t="s">
        <v>7</v>
      </c>
      <c r="F44" s="39" t="s">
        <v>397</v>
      </c>
      <c r="G44" s="2" t="s">
        <v>490</v>
      </c>
      <c r="H44" s="2" t="s">
        <v>490</v>
      </c>
      <c r="I44" s="40">
        <v>35.271</v>
      </c>
      <c r="J44" s="22">
        <v>19.19236</v>
      </c>
      <c r="K44" s="22">
        <v>72.99334</v>
      </c>
      <c r="L44" s="2" t="s">
        <v>102</v>
      </c>
      <c r="N44" s="2" t="s">
        <v>67</v>
      </c>
      <c r="O44" s="30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200.0</v>
      </c>
      <c r="AE44" s="39">
        <v>1.0</v>
      </c>
    </row>
    <row r="45">
      <c r="A45" s="2" t="s">
        <v>491</v>
      </c>
      <c r="D45" s="29" t="s">
        <v>63</v>
      </c>
      <c r="E45" s="39" t="s">
        <v>7</v>
      </c>
      <c r="F45" s="39" t="s">
        <v>397</v>
      </c>
      <c r="G45" s="2" t="s">
        <v>492</v>
      </c>
      <c r="H45" s="2" t="s">
        <v>492</v>
      </c>
      <c r="I45" s="40">
        <v>34.691</v>
      </c>
      <c r="J45" s="22">
        <v>19.19057</v>
      </c>
      <c r="K45" s="22">
        <v>72.99061</v>
      </c>
      <c r="L45" s="2" t="s">
        <v>102</v>
      </c>
      <c r="N45" s="2" t="s">
        <v>67</v>
      </c>
      <c r="O45" s="30" t="s">
        <v>81</v>
      </c>
      <c r="Q45" s="39">
        <v>0.0</v>
      </c>
      <c r="R45" s="39">
        <v>0.0</v>
      </c>
      <c r="S45" s="39">
        <v>1.0</v>
      </c>
      <c r="T45" s="39">
        <v>0.0</v>
      </c>
      <c r="U45" s="39">
        <v>1.0</v>
      </c>
      <c r="V45" s="39">
        <v>0.0</v>
      </c>
      <c r="W45" s="39">
        <v>0.0</v>
      </c>
      <c r="X45" s="39">
        <v>0.0</v>
      </c>
      <c r="Y45" s="39">
        <v>0.0</v>
      </c>
      <c r="AC45" s="39">
        <v>200.0</v>
      </c>
      <c r="AE45" s="39">
        <v>1.0</v>
      </c>
    </row>
    <row r="46">
      <c r="A46" s="2" t="s">
        <v>493</v>
      </c>
      <c r="B46" s="39" t="s">
        <v>262</v>
      </c>
      <c r="C46" s="39" t="s">
        <v>263</v>
      </c>
      <c r="D46" s="29" t="s">
        <v>63</v>
      </c>
      <c r="E46" s="39" t="s">
        <v>7</v>
      </c>
      <c r="F46" s="39" t="s">
        <v>397</v>
      </c>
      <c r="G46" s="2" t="s">
        <v>494</v>
      </c>
      <c r="H46" s="2" t="s">
        <v>494</v>
      </c>
      <c r="I46" s="40">
        <v>34.291</v>
      </c>
      <c r="J46" s="22">
        <v>19.18906</v>
      </c>
      <c r="K46" s="22">
        <v>72.98609</v>
      </c>
      <c r="L46" s="2" t="s">
        <v>66</v>
      </c>
      <c r="N46" s="2" t="s">
        <v>67</v>
      </c>
      <c r="O46" s="30" t="s">
        <v>81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1.0</v>
      </c>
      <c r="W46" s="39">
        <v>0.0</v>
      </c>
      <c r="X46" s="39">
        <v>2.0</v>
      </c>
      <c r="Y46" s="39">
        <v>0.0</v>
      </c>
      <c r="Z46" s="39" t="s">
        <v>495</v>
      </c>
      <c r="AA46" s="30" t="s">
        <v>78</v>
      </c>
      <c r="AC46" s="39">
        <v>250.0</v>
      </c>
      <c r="AE46" s="39">
        <v>1.0</v>
      </c>
    </row>
    <row r="47">
      <c r="A47" s="2" t="s">
        <v>496</v>
      </c>
      <c r="B47" s="39" t="s">
        <v>262</v>
      </c>
      <c r="C47" s="39" t="s">
        <v>263</v>
      </c>
      <c r="D47" s="29" t="s">
        <v>63</v>
      </c>
      <c r="E47" s="39" t="s">
        <v>7</v>
      </c>
      <c r="F47" s="39" t="s">
        <v>397</v>
      </c>
      <c r="G47" s="2" t="s">
        <v>497</v>
      </c>
      <c r="H47" s="2" t="s">
        <v>497</v>
      </c>
      <c r="I47" s="40">
        <v>33.931</v>
      </c>
      <c r="J47" s="22">
        <v>19.18798</v>
      </c>
      <c r="K47" s="22">
        <v>72.98168</v>
      </c>
      <c r="L47" s="2" t="s">
        <v>66</v>
      </c>
      <c r="N47" s="39" t="s">
        <v>119</v>
      </c>
      <c r="O47" s="30" t="s">
        <v>67</v>
      </c>
      <c r="Q47" s="39">
        <v>0.0</v>
      </c>
      <c r="R47" s="39">
        <v>1.0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300.0</v>
      </c>
      <c r="AE47" s="39">
        <v>1.0</v>
      </c>
    </row>
    <row r="48">
      <c r="A48" s="2" t="s">
        <v>498</v>
      </c>
      <c r="B48" s="39" t="s">
        <v>262</v>
      </c>
      <c r="C48" s="39" t="s">
        <v>263</v>
      </c>
      <c r="D48" s="29" t="s">
        <v>499</v>
      </c>
      <c r="E48" s="39" t="s">
        <v>7</v>
      </c>
      <c r="F48" s="39" t="s">
        <v>397</v>
      </c>
      <c r="G48" s="30" t="s">
        <v>500</v>
      </c>
      <c r="I48" s="40">
        <v>33.318</v>
      </c>
      <c r="J48" s="22">
        <v>19.18688</v>
      </c>
      <c r="K48" s="22">
        <v>72.97865</v>
      </c>
      <c r="L48" s="2" t="s">
        <v>66</v>
      </c>
      <c r="N48" s="39" t="s">
        <v>81</v>
      </c>
      <c r="O48" s="30" t="s">
        <v>68</v>
      </c>
      <c r="Q48" s="39">
        <v>1.0</v>
      </c>
      <c r="R48" s="39">
        <v>0.0</v>
      </c>
      <c r="S48" s="39">
        <v>0.0</v>
      </c>
      <c r="T48" s="39">
        <v>0.0</v>
      </c>
      <c r="U48" s="39">
        <v>1.0</v>
      </c>
      <c r="V48" s="39">
        <v>0.0</v>
      </c>
      <c r="W48" s="39">
        <v>0.0</v>
      </c>
      <c r="X48" s="39">
        <v>0.0</v>
      </c>
      <c r="Y48" s="39">
        <v>0.0</v>
      </c>
      <c r="AC48" s="39">
        <v>200.0</v>
      </c>
      <c r="AE48" s="39">
        <v>1.0</v>
      </c>
    </row>
    <row r="49">
      <c r="A49" s="2" t="s">
        <v>501</v>
      </c>
      <c r="B49" s="39" t="s">
        <v>262</v>
      </c>
      <c r="C49" s="39" t="s">
        <v>263</v>
      </c>
      <c r="D49" s="29" t="s">
        <v>63</v>
      </c>
      <c r="E49" s="39" t="s">
        <v>7</v>
      </c>
      <c r="F49" s="39" t="s">
        <v>397</v>
      </c>
      <c r="G49" s="2" t="s">
        <v>80</v>
      </c>
      <c r="I49" s="40">
        <v>32.709</v>
      </c>
      <c r="J49" s="22">
        <v>19.18529</v>
      </c>
      <c r="K49" s="22">
        <v>72.97334</v>
      </c>
      <c r="L49" s="2" t="s">
        <v>66</v>
      </c>
      <c r="N49" s="39" t="s">
        <v>81</v>
      </c>
      <c r="O49" s="30" t="s">
        <v>68</v>
      </c>
      <c r="Q49" s="39">
        <v>1.0</v>
      </c>
      <c r="R49" s="39">
        <v>0.0</v>
      </c>
      <c r="S49" s="39">
        <v>0.0</v>
      </c>
      <c r="T49" s="39">
        <v>0.0</v>
      </c>
      <c r="U49" s="39">
        <v>0.0</v>
      </c>
      <c r="V49" s="39">
        <v>0.0</v>
      </c>
      <c r="W49" s="39">
        <v>1.0</v>
      </c>
      <c r="X49" s="39">
        <v>0.0</v>
      </c>
      <c r="Y49" s="39">
        <v>0.0</v>
      </c>
      <c r="AC49" s="39">
        <v>200.0</v>
      </c>
      <c r="AE49" s="39">
        <v>1.0</v>
      </c>
    </row>
    <row r="50">
      <c r="A50" s="2" t="s">
        <v>502</v>
      </c>
      <c r="B50" s="39" t="s">
        <v>262</v>
      </c>
      <c r="C50" s="39" t="s">
        <v>263</v>
      </c>
      <c r="D50" s="29" t="s">
        <v>63</v>
      </c>
      <c r="E50" s="39" t="s">
        <v>7</v>
      </c>
      <c r="F50" s="39" t="s">
        <v>397</v>
      </c>
      <c r="G50" s="2" t="s">
        <v>503</v>
      </c>
      <c r="J50" s="22">
        <v>19.18532</v>
      </c>
      <c r="K50" s="22">
        <v>72.97333</v>
      </c>
      <c r="L50" s="2" t="s">
        <v>66</v>
      </c>
      <c r="N50" s="2" t="s">
        <v>67</v>
      </c>
      <c r="O50" s="30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1.0</v>
      </c>
      <c r="W50" s="39">
        <v>0.0</v>
      </c>
      <c r="X50" s="39">
        <v>0.0</v>
      </c>
      <c r="Y50" s="39">
        <v>0.0</v>
      </c>
      <c r="AC50" s="39">
        <v>200.0</v>
      </c>
      <c r="AE50" s="39">
        <v>1.0</v>
      </c>
    </row>
    <row r="51">
      <c r="A51" s="2" t="s">
        <v>504</v>
      </c>
      <c r="B51" s="39" t="s">
        <v>262</v>
      </c>
      <c r="C51" s="39" t="s">
        <v>263</v>
      </c>
      <c r="D51" s="29" t="s">
        <v>63</v>
      </c>
      <c r="E51" s="39" t="s">
        <v>7</v>
      </c>
      <c r="F51" s="39" t="s">
        <v>397</v>
      </c>
      <c r="G51" s="2" t="s">
        <v>505</v>
      </c>
      <c r="H51" s="2" t="s">
        <v>505</v>
      </c>
      <c r="I51" s="40">
        <v>32.19</v>
      </c>
      <c r="J51" s="22">
        <v>19.18327</v>
      </c>
      <c r="K51" s="22">
        <v>72.96869</v>
      </c>
      <c r="L51" s="2" t="s">
        <v>66</v>
      </c>
      <c r="N51" s="2" t="s">
        <v>67</v>
      </c>
      <c r="O51" s="30" t="s">
        <v>67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1.0</v>
      </c>
      <c r="X51" s="39">
        <v>0.0</v>
      </c>
      <c r="Y51" s="39">
        <v>0.0</v>
      </c>
      <c r="AC51" s="39">
        <v>200.0</v>
      </c>
      <c r="AE51" s="39">
        <v>1.0</v>
      </c>
    </row>
    <row r="52">
      <c r="A52" s="2" t="s">
        <v>506</v>
      </c>
      <c r="B52" s="39" t="s">
        <v>252</v>
      </c>
      <c r="C52" s="39" t="s">
        <v>253</v>
      </c>
      <c r="D52" s="29" t="s">
        <v>63</v>
      </c>
      <c r="E52" s="39" t="s">
        <v>7</v>
      </c>
      <c r="F52" s="39" t="s">
        <v>397</v>
      </c>
      <c r="G52" s="2" t="s">
        <v>507</v>
      </c>
      <c r="H52" s="2" t="s">
        <v>507</v>
      </c>
      <c r="I52" s="40">
        <v>31.757</v>
      </c>
      <c r="J52" s="22">
        <v>19.17724</v>
      </c>
      <c r="K52" s="22">
        <v>72.96211</v>
      </c>
      <c r="L52" s="2" t="s">
        <v>66</v>
      </c>
      <c r="N52" s="2" t="s">
        <v>67</v>
      </c>
      <c r="O52" s="30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1.0</v>
      </c>
      <c r="W52" s="39">
        <v>0.0</v>
      </c>
      <c r="X52" s="39">
        <v>0.0</v>
      </c>
      <c r="Y52" s="39">
        <v>1.0</v>
      </c>
      <c r="Z52" s="39" t="s">
        <v>508</v>
      </c>
      <c r="AA52" s="30" t="s">
        <v>97</v>
      </c>
      <c r="AC52" s="39">
        <v>300.0</v>
      </c>
      <c r="AE52" s="39">
        <v>1.0</v>
      </c>
    </row>
    <row r="53">
      <c r="A53" s="2" t="s">
        <v>509</v>
      </c>
      <c r="B53" s="39" t="s">
        <v>252</v>
      </c>
      <c r="C53" s="39" t="s">
        <v>253</v>
      </c>
      <c r="D53" s="29" t="s">
        <v>63</v>
      </c>
      <c r="E53" s="39" t="s">
        <v>7</v>
      </c>
      <c r="F53" s="39" t="s">
        <v>397</v>
      </c>
      <c r="G53" s="2" t="s">
        <v>510</v>
      </c>
      <c r="H53" s="2" t="s">
        <v>510</v>
      </c>
      <c r="I53" s="40">
        <v>31.354</v>
      </c>
      <c r="J53" s="22">
        <v>19.17393</v>
      </c>
      <c r="K53" s="22">
        <v>72.95873</v>
      </c>
      <c r="L53" s="2" t="s">
        <v>102</v>
      </c>
      <c r="N53" s="2" t="s">
        <v>67</v>
      </c>
      <c r="O53" s="30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1.0</v>
      </c>
      <c r="V53" s="39">
        <v>0.0</v>
      </c>
      <c r="W53" s="39">
        <v>0.0</v>
      </c>
      <c r="X53" s="39">
        <v>0.0</v>
      </c>
      <c r="Y53" s="39">
        <v>0.0</v>
      </c>
      <c r="AC53" s="39">
        <v>250.0</v>
      </c>
      <c r="AE53" s="39">
        <v>1.0</v>
      </c>
    </row>
    <row r="54">
      <c r="A54" s="2" t="s">
        <v>511</v>
      </c>
      <c r="B54" s="39" t="s">
        <v>252</v>
      </c>
      <c r="C54" s="39" t="s">
        <v>253</v>
      </c>
      <c r="D54" s="29" t="s">
        <v>63</v>
      </c>
      <c r="E54" s="39" t="s">
        <v>7</v>
      </c>
      <c r="F54" s="39" t="s">
        <v>397</v>
      </c>
      <c r="G54" s="30" t="s">
        <v>72</v>
      </c>
      <c r="H54" s="2" t="s">
        <v>512</v>
      </c>
      <c r="I54" s="40">
        <v>30.957</v>
      </c>
      <c r="J54" s="22">
        <v>19.17063</v>
      </c>
      <c r="K54" s="22">
        <v>72.95545</v>
      </c>
      <c r="L54" s="2" t="s">
        <v>66</v>
      </c>
      <c r="N54" s="2" t="s">
        <v>67</v>
      </c>
      <c r="O54" s="30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1.0</v>
      </c>
      <c r="W54" s="39">
        <v>0.0</v>
      </c>
      <c r="X54" s="39">
        <v>2.0</v>
      </c>
      <c r="Y54" s="39">
        <v>0.0</v>
      </c>
      <c r="Z54" s="39" t="s">
        <v>513</v>
      </c>
      <c r="AA54" s="30" t="s">
        <v>78</v>
      </c>
      <c r="AC54" s="39">
        <v>200.0</v>
      </c>
      <c r="AE54" s="39">
        <v>1.0</v>
      </c>
    </row>
    <row r="55">
      <c r="A55" s="2" t="s">
        <v>514</v>
      </c>
      <c r="D55" s="29" t="s">
        <v>63</v>
      </c>
      <c r="E55" s="39" t="s">
        <v>7</v>
      </c>
      <c r="F55" s="39" t="s">
        <v>397</v>
      </c>
      <c r="G55" s="2" t="s">
        <v>515</v>
      </c>
      <c r="H55" s="2" t="s">
        <v>515</v>
      </c>
      <c r="I55" s="40">
        <v>30.557</v>
      </c>
      <c r="J55" s="22">
        <v>19.16685</v>
      </c>
      <c r="K55" s="22">
        <v>72.9525</v>
      </c>
      <c r="L55" s="2" t="s">
        <v>102</v>
      </c>
      <c r="N55" s="2" t="s">
        <v>67</v>
      </c>
      <c r="O55" s="30" t="s">
        <v>67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200.0</v>
      </c>
      <c r="AE55" s="39">
        <v>1.0</v>
      </c>
    </row>
    <row r="56">
      <c r="A56" s="2" t="s">
        <v>516</v>
      </c>
      <c r="D56" s="29" t="s">
        <v>63</v>
      </c>
      <c r="E56" s="39" t="s">
        <v>7</v>
      </c>
      <c r="F56" s="39" t="s">
        <v>397</v>
      </c>
      <c r="G56" s="2" t="s">
        <v>517</v>
      </c>
      <c r="H56" s="2" t="s">
        <v>517</v>
      </c>
      <c r="I56" s="40">
        <v>30.159</v>
      </c>
      <c r="J56" s="22">
        <v>19.16323</v>
      </c>
      <c r="K56" s="22">
        <v>72.95052</v>
      </c>
      <c r="L56" s="2" t="s">
        <v>102</v>
      </c>
      <c r="N56" s="2" t="s">
        <v>67</v>
      </c>
      <c r="O56" s="30" t="s">
        <v>67</v>
      </c>
      <c r="Q56" s="39">
        <v>0.0</v>
      </c>
      <c r="R56" s="39">
        <v>0.0</v>
      </c>
      <c r="S56" s="39">
        <v>1.0</v>
      </c>
      <c r="T56" s="39">
        <v>0.0</v>
      </c>
      <c r="U56" s="39">
        <v>1.0</v>
      </c>
      <c r="V56" s="39">
        <v>0.0</v>
      </c>
      <c r="W56" s="39">
        <v>0.0</v>
      </c>
      <c r="X56" s="39">
        <v>0.0</v>
      </c>
      <c r="Y56" s="39">
        <v>0.0</v>
      </c>
      <c r="AC56" s="39">
        <v>200.0</v>
      </c>
      <c r="AE56" s="39">
        <v>1.0</v>
      </c>
    </row>
    <row r="57">
      <c r="A57" s="2" t="s">
        <v>518</v>
      </c>
      <c r="D57" s="29" t="s">
        <v>63</v>
      </c>
      <c r="E57" s="39" t="s">
        <v>7</v>
      </c>
      <c r="F57" s="39" t="s">
        <v>397</v>
      </c>
      <c r="G57" s="2" t="s">
        <v>519</v>
      </c>
      <c r="H57" s="2" t="s">
        <v>519</v>
      </c>
      <c r="I57" s="40">
        <v>29.377</v>
      </c>
      <c r="J57" s="22">
        <v>19.15742</v>
      </c>
      <c r="K57" s="22">
        <v>72.94828</v>
      </c>
      <c r="L57" s="2" t="s">
        <v>102</v>
      </c>
      <c r="N57" s="2" t="s">
        <v>67</v>
      </c>
      <c r="O57" s="30" t="s">
        <v>81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300.0</v>
      </c>
      <c r="AE57" s="39">
        <v>1.0</v>
      </c>
    </row>
    <row r="58">
      <c r="A58" s="2" t="s">
        <v>520</v>
      </c>
      <c r="D58" s="29" t="s">
        <v>63</v>
      </c>
      <c r="E58" s="39" t="s">
        <v>7</v>
      </c>
      <c r="F58" s="39" t="s">
        <v>397</v>
      </c>
      <c r="G58" s="2" t="s">
        <v>521</v>
      </c>
      <c r="H58" s="2" t="s">
        <v>521</v>
      </c>
      <c r="I58" s="40">
        <v>28.831</v>
      </c>
      <c r="J58" s="22">
        <v>19.15225</v>
      </c>
      <c r="K58" s="22">
        <v>72.94534</v>
      </c>
      <c r="L58" s="2" t="s">
        <v>102</v>
      </c>
      <c r="N58" s="2" t="s">
        <v>67</v>
      </c>
      <c r="O58" s="30" t="s">
        <v>81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200.0</v>
      </c>
      <c r="AE58" s="39">
        <v>1.0</v>
      </c>
    </row>
    <row r="59">
      <c r="A59" s="2" t="s">
        <v>522</v>
      </c>
      <c r="D59" s="29" t="s">
        <v>63</v>
      </c>
      <c r="E59" s="39" t="s">
        <v>7</v>
      </c>
      <c r="F59" s="39" t="s">
        <v>397</v>
      </c>
      <c r="G59" s="2" t="s">
        <v>523</v>
      </c>
      <c r="H59" s="2" t="s">
        <v>523</v>
      </c>
      <c r="I59" s="40">
        <v>28.168</v>
      </c>
      <c r="J59" s="22">
        <v>19.14914</v>
      </c>
      <c r="K59" s="22">
        <v>72.94296</v>
      </c>
      <c r="L59" s="2" t="s">
        <v>102</v>
      </c>
      <c r="N59" s="2" t="s">
        <v>67</v>
      </c>
      <c r="O59" s="30" t="s">
        <v>68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200.0</v>
      </c>
      <c r="AE59" s="39">
        <v>1.0</v>
      </c>
    </row>
    <row r="60">
      <c r="A60" s="2" t="s">
        <v>524</v>
      </c>
      <c r="B60" s="39" t="s">
        <v>236</v>
      </c>
      <c r="C60" s="39" t="s">
        <v>237</v>
      </c>
      <c r="D60" s="29" t="s">
        <v>63</v>
      </c>
      <c r="E60" s="39" t="s">
        <v>7</v>
      </c>
      <c r="F60" s="39" t="s">
        <v>397</v>
      </c>
      <c r="G60" s="2" t="s">
        <v>525</v>
      </c>
      <c r="H60" s="2" t="s">
        <v>525</v>
      </c>
      <c r="I60" s="40">
        <v>27.562</v>
      </c>
      <c r="J60" s="22">
        <v>19.14638</v>
      </c>
      <c r="K60" s="22">
        <v>72.94082</v>
      </c>
      <c r="L60" s="2" t="s">
        <v>66</v>
      </c>
      <c r="N60" s="2" t="s">
        <v>67</v>
      </c>
      <c r="O60" s="30" t="s">
        <v>68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200.0</v>
      </c>
      <c r="AE60" s="39">
        <v>1.0</v>
      </c>
    </row>
    <row r="61">
      <c r="A61" s="2" t="s">
        <v>526</v>
      </c>
      <c r="D61" s="29" t="s">
        <v>63</v>
      </c>
      <c r="E61" s="39" t="s">
        <v>7</v>
      </c>
      <c r="F61" s="39" t="s">
        <v>397</v>
      </c>
      <c r="G61" s="2" t="s">
        <v>72</v>
      </c>
      <c r="H61" s="39" t="s">
        <v>527</v>
      </c>
      <c r="I61" s="40">
        <v>27.146</v>
      </c>
      <c r="J61" s="22">
        <v>19.1412</v>
      </c>
      <c r="K61" s="22">
        <v>72.93681</v>
      </c>
      <c r="L61" s="2" t="s">
        <v>102</v>
      </c>
      <c r="N61" s="2" t="s">
        <v>67</v>
      </c>
      <c r="O61" s="30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300.0</v>
      </c>
      <c r="AE61" s="39">
        <v>1.0</v>
      </c>
    </row>
    <row r="62">
      <c r="A62" s="2" t="s">
        <v>528</v>
      </c>
      <c r="D62" s="29" t="s">
        <v>63</v>
      </c>
      <c r="E62" s="39" t="s">
        <v>7</v>
      </c>
      <c r="F62" s="39" t="s">
        <v>397</v>
      </c>
      <c r="G62" s="2" t="s">
        <v>529</v>
      </c>
      <c r="H62" s="2" t="s">
        <v>529</v>
      </c>
      <c r="I62" s="40">
        <v>26.756</v>
      </c>
      <c r="J62" s="22">
        <v>19.13812</v>
      </c>
      <c r="K62" s="22">
        <v>72.93444</v>
      </c>
      <c r="L62" s="2" t="s">
        <v>102</v>
      </c>
      <c r="N62" s="2" t="s">
        <v>67</v>
      </c>
      <c r="O62" s="30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200.0</v>
      </c>
      <c r="AE62" s="39">
        <v>1.0</v>
      </c>
    </row>
    <row r="63">
      <c r="A63" s="2" t="s">
        <v>530</v>
      </c>
      <c r="D63" s="29" t="s">
        <v>63</v>
      </c>
      <c r="E63" s="39" t="s">
        <v>7</v>
      </c>
      <c r="F63" s="39" t="s">
        <v>397</v>
      </c>
      <c r="G63" s="2" t="s">
        <v>531</v>
      </c>
      <c r="H63" s="2" t="s">
        <v>531</v>
      </c>
      <c r="I63" s="40">
        <v>26.396</v>
      </c>
      <c r="J63" s="22">
        <v>19.13534</v>
      </c>
      <c r="K63" s="22">
        <v>72.93227</v>
      </c>
      <c r="L63" s="2" t="s">
        <v>102</v>
      </c>
      <c r="N63" s="2" t="s">
        <v>67</v>
      </c>
      <c r="O63" s="30" t="s">
        <v>68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AC63" s="39">
        <v>200.0</v>
      </c>
      <c r="AE63" s="39">
        <v>1.0</v>
      </c>
    </row>
    <row r="64">
      <c r="A64" s="2" t="s">
        <v>532</v>
      </c>
      <c r="D64" s="29" t="s">
        <v>63</v>
      </c>
      <c r="E64" s="39" t="s">
        <v>7</v>
      </c>
      <c r="F64" s="39" t="s">
        <v>397</v>
      </c>
      <c r="G64" s="2" t="s">
        <v>533</v>
      </c>
      <c r="H64" s="2" t="s">
        <v>533</v>
      </c>
      <c r="I64" s="40">
        <v>25.71</v>
      </c>
      <c r="J64" s="22">
        <v>19.13222</v>
      </c>
      <c r="K64" s="22">
        <v>72.92997</v>
      </c>
      <c r="L64" s="2" t="s">
        <v>102</v>
      </c>
      <c r="N64" s="2" t="s">
        <v>67</v>
      </c>
      <c r="O64" s="30" t="s">
        <v>67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AC64" s="39">
        <v>200.0</v>
      </c>
      <c r="AE64" s="39">
        <v>1.0</v>
      </c>
    </row>
    <row r="65">
      <c r="A65" s="2" t="s">
        <v>534</v>
      </c>
      <c r="D65" s="29" t="s">
        <v>63</v>
      </c>
      <c r="E65" s="39" t="s">
        <v>7</v>
      </c>
      <c r="F65" s="39" t="s">
        <v>397</v>
      </c>
      <c r="G65" s="2" t="s">
        <v>535</v>
      </c>
      <c r="H65" s="2" t="s">
        <v>535</v>
      </c>
      <c r="I65" s="40">
        <v>25.344</v>
      </c>
      <c r="J65" s="22">
        <v>19.12711</v>
      </c>
      <c r="K65" s="22">
        <v>72.92805</v>
      </c>
      <c r="L65" s="2" t="s">
        <v>102</v>
      </c>
      <c r="N65" s="2" t="s">
        <v>67</v>
      </c>
      <c r="O65" s="30" t="s">
        <v>67</v>
      </c>
      <c r="Q65" s="39">
        <v>0.0</v>
      </c>
      <c r="R65" s="39">
        <v>0.0</v>
      </c>
      <c r="S65" s="39">
        <v>1.0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AC65" s="39">
        <v>200.0</v>
      </c>
      <c r="AE65" s="39">
        <v>1.0</v>
      </c>
    </row>
    <row r="66">
      <c r="A66" s="2" t="s">
        <v>536</v>
      </c>
      <c r="B66" s="39" t="s">
        <v>215</v>
      </c>
      <c r="C66" s="39" t="s">
        <v>216</v>
      </c>
      <c r="D66" s="29" t="s">
        <v>63</v>
      </c>
      <c r="E66" s="39" t="s">
        <v>7</v>
      </c>
      <c r="F66" s="39" t="s">
        <v>397</v>
      </c>
      <c r="G66" s="2" t="s">
        <v>537</v>
      </c>
      <c r="H66" s="2" t="s">
        <v>537</v>
      </c>
      <c r="I66" s="40">
        <v>24.932</v>
      </c>
      <c r="J66" s="22">
        <v>19.12108</v>
      </c>
      <c r="K66" s="22">
        <v>72.92803</v>
      </c>
      <c r="L66" s="2" t="s">
        <v>66</v>
      </c>
      <c r="N66" s="2" t="s">
        <v>67</v>
      </c>
      <c r="O66" s="30" t="s">
        <v>67</v>
      </c>
      <c r="Q66" s="39">
        <v>0.0</v>
      </c>
      <c r="R66" s="39">
        <v>0.0</v>
      </c>
      <c r="S66" s="39">
        <v>1.0</v>
      </c>
      <c r="T66" s="39">
        <v>0.0</v>
      </c>
      <c r="U66" s="39">
        <v>0.0</v>
      </c>
      <c r="V66" s="39">
        <v>0.0</v>
      </c>
      <c r="W66" s="39">
        <v>0.0</v>
      </c>
      <c r="X66" s="39">
        <v>0.0</v>
      </c>
      <c r="Y66" s="39">
        <v>0.0</v>
      </c>
      <c r="AC66" s="39">
        <v>200.0</v>
      </c>
      <c r="AE66" s="39">
        <v>1.0</v>
      </c>
    </row>
    <row r="67">
      <c r="A67" s="2" t="s">
        <v>538</v>
      </c>
      <c r="B67" s="39" t="s">
        <v>215</v>
      </c>
      <c r="C67" s="39" t="s">
        <v>216</v>
      </c>
      <c r="D67" s="29" t="s">
        <v>63</v>
      </c>
      <c r="E67" s="39" t="s">
        <v>7</v>
      </c>
      <c r="F67" s="39" t="s">
        <v>397</v>
      </c>
      <c r="G67" s="2" t="s">
        <v>539</v>
      </c>
      <c r="H67" s="2" t="s">
        <v>539</v>
      </c>
      <c r="I67" s="40">
        <v>24.278</v>
      </c>
      <c r="J67" s="22">
        <v>19.11759</v>
      </c>
      <c r="K67" s="22">
        <v>72.9282</v>
      </c>
      <c r="L67" s="2" t="s">
        <v>66</v>
      </c>
      <c r="N67" s="2" t="s">
        <v>67</v>
      </c>
      <c r="O67" s="30" t="s">
        <v>68</v>
      </c>
      <c r="Q67" s="39">
        <v>0.0</v>
      </c>
      <c r="R67" s="39">
        <v>0.0</v>
      </c>
      <c r="S67" s="39">
        <v>1.0</v>
      </c>
      <c r="T67" s="39">
        <v>0.0</v>
      </c>
      <c r="U67" s="39">
        <v>0.0</v>
      </c>
      <c r="V67" s="39">
        <v>0.0</v>
      </c>
      <c r="W67" s="39">
        <v>0.0</v>
      </c>
      <c r="X67" s="39">
        <v>0.0</v>
      </c>
      <c r="Y67" s="39">
        <v>0.0</v>
      </c>
      <c r="AC67" s="39">
        <v>250.0</v>
      </c>
      <c r="AE67" s="39">
        <v>1.0</v>
      </c>
    </row>
    <row r="68">
      <c r="A68" s="2" t="s">
        <v>540</v>
      </c>
      <c r="B68" s="39" t="s">
        <v>215</v>
      </c>
      <c r="C68" s="39" t="s">
        <v>216</v>
      </c>
      <c r="D68" s="29" t="s">
        <v>63</v>
      </c>
      <c r="E68" s="39" t="s">
        <v>7</v>
      </c>
      <c r="F68" s="39" t="s">
        <v>397</v>
      </c>
      <c r="G68" s="2" t="s">
        <v>541</v>
      </c>
      <c r="H68" s="2" t="s">
        <v>541</v>
      </c>
      <c r="I68" s="40">
        <v>23.816</v>
      </c>
      <c r="J68" s="22">
        <v>19.11063</v>
      </c>
      <c r="K68" s="22">
        <v>72.92827</v>
      </c>
      <c r="L68" s="2" t="s">
        <v>66</v>
      </c>
      <c r="N68" s="2" t="s">
        <v>67</v>
      </c>
      <c r="O68" s="30" t="s">
        <v>81</v>
      </c>
      <c r="Q68" s="39">
        <v>0.0</v>
      </c>
      <c r="R68" s="39">
        <v>0.0</v>
      </c>
      <c r="S68" s="39">
        <v>1.0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AC68" s="39">
        <v>200.0</v>
      </c>
      <c r="AE68" s="39">
        <v>1.0</v>
      </c>
    </row>
    <row r="69">
      <c r="A69" s="2" t="s">
        <v>542</v>
      </c>
      <c r="D69" s="29" t="s">
        <v>63</v>
      </c>
      <c r="E69" s="39" t="s">
        <v>7</v>
      </c>
      <c r="F69" s="39" t="s">
        <v>397</v>
      </c>
      <c r="G69" s="2" t="s">
        <v>543</v>
      </c>
      <c r="H69" s="2" t="s">
        <v>543</v>
      </c>
      <c r="I69" s="40">
        <v>23.289</v>
      </c>
      <c r="J69" s="22">
        <v>19.1072</v>
      </c>
      <c r="K69" s="22">
        <v>72.9275</v>
      </c>
      <c r="L69" s="2" t="s">
        <v>102</v>
      </c>
      <c r="N69" s="2" t="s">
        <v>67</v>
      </c>
      <c r="O69" s="30" t="s">
        <v>81</v>
      </c>
      <c r="Q69" s="39">
        <v>0.0</v>
      </c>
      <c r="R69" s="39">
        <v>0.0</v>
      </c>
      <c r="S69" s="39">
        <v>1.0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AC69" s="39">
        <v>200.0</v>
      </c>
      <c r="AE69" s="39">
        <v>1.0</v>
      </c>
    </row>
    <row r="70">
      <c r="A70" s="2" t="s">
        <v>544</v>
      </c>
      <c r="D70" s="29" t="s">
        <v>63</v>
      </c>
      <c r="E70" s="39" t="s">
        <v>7</v>
      </c>
      <c r="F70" s="39" t="s">
        <v>397</v>
      </c>
      <c r="G70" s="2" t="s">
        <v>545</v>
      </c>
      <c r="H70" s="2" t="s">
        <v>545</v>
      </c>
      <c r="I70" s="40">
        <v>22.776</v>
      </c>
      <c r="J70" s="22">
        <v>19.10368</v>
      </c>
      <c r="K70" s="22">
        <v>72.92612</v>
      </c>
      <c r="L70" s="2" t="s">
        <v>102</v>
      </c>
      <c r="N70" s="2" t="s">
        <v>67</v>
      </c>
      <c r="O70" s="30" t="s">
        <v>81</v>
      </c>
      <c r="Q70" s="39">
        <v>0.0</v>
      </c>
      <c r="R70" s="39">
        <v>0.0</v>
      </c>
      <c r="S70" s="39">
        <v>1.0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AC70" s="39">
        <v>200.0</v>
      </c>
      <c r="AE70" s="39">
        <v>1.0</v>
      </c>
    </row>
    <row r="71">
      <c r="A71" s="2" t="s">
        <v>546</v>
      </c>
      <c r="D71" s="29" t="s">
        <v>63</v>
      </c>
      <c r="E71" s="39" t="s">
        <v>7</v>
      </c>
      <c r="F71" s="39" t="s">
        <v>397</v>
      </c>
      <c r="G71" s="2" t="s">
        <v>547</v>
      </c>
      <c r="H71" s="2" t="s">
        <v>547</v>
      </c>
      <c r="I71" s="40">
        <v>22.284</v>
      </c>
      <c r="J71" s="22">
        <v>19.10055</v>
      </c>
      <c r="K71" s="22">
        <v>72.92413</v>
      </c>
      <c r="L71" s="2" t="s">
        <v>102</v>
      </c>
      <c r="N71" s="2" t="s">
        <v>67</v>
      </c>
      <c r="O71" s="30" t="s">
        <v>81</v>
      </c>
      <c r="Q71" s="39">
        <v>0.0</v>
      </c>
      <c r="R71" s="39">
        <v>0.0</v>
      </c>
      <c r="S71" s="39">
        <v>1.0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AC71" s="39">
        <v>250.0</v>
      </c>
      <c r="AE71" s="39">
        <v>1.0</v>
      </c>
    </row>
    <row r="72">
      <c r="A72" s="2" t="s">
        <v>548</v>
      </c>
      <c r="D72" s="29" t="s">
        <v>63</v>
      </c>
      <c r="E72" s="39" t="s">
        <v>7</v>
      </c>
      <c r="F72" s="39" t="s">
        <v>397</v>
      </c>
      <c r="G72" s="2" t="s">
        <v>549</v>
      </c>
      <c r="H72" s="2" t="s">
        <v>549</v>
      </c>
      <c r="I72" s="40">
        <v>21.773</v>
      </c>
      <c r="J72" s="22">
        <v>19.09903</v>
      </c>
      <c r="K72" s="22">
        <v>72.92278</v>
      </c>
      <c r="L72" s="2" t="s">
        <v>102</v>
      </c>
      <c r="N72" s="2" t="s">
        <v>67</v>
      </c>
      <c r="O72" s="30" t="s">
        <v>68</v>
      </c>
      <c r="Q72" s="39">
        <v>0.0</v>
      </c>
      <c r="R72" s="39">
        <v>0.0</v>
      </c>
      <c r="S72" s="39">
        <v>1.0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AC72" s="39">
        <v>200.0</v>
      </c>
      <c r="AE72" s="39">
        <v>1.0</v>
      </c>
    </row>
    <row r="73">
      <c r="A73" s="2" t="s">
        <v>550</v>
      </c>
      <c r="D73" s="29" t="s">
        <v>63</v>
      </c>
      <c r="E73" s="39" t="s">
        <v>7</v>
      </c>
      <c r="F73" s="39" t="s">
        <v>397</v>
      </c>
      <c r="G73" s="2" t="s">
        <v>551</v>
      </c>
      <c r="H73" s="2" t="s">
        <v>551</v>
      </c>
      <c r="I73" s="40">
        <v>20.864</v>
      </c>
      <c r="J73" s="22">
        <v>19.09494</v>
      </c>
      <c r="K73" s="22">
        <v>72.91881</v>
      </c>
      <c r="L73" s="2" t="s">
        <v>102</v>
      </c>
      <c r="N73" s="2" t="s">
        <v>67</v>
      </c>
      <c r="O73" s="30" t="s">
        <v>68</v>
      </c>
      <c r="Q73" s="39">
        <v>0.0</v>
      </c>
      <c r="R73" s="39">
        <v>0.0</v>
      </c>
      <c r="S73" s="39">
        <v>1.0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AC73" s="39">
        <v>500.0</v>
      </c>
      <c r="AE73" s="39">
        <v>1.0</v>
      </c>
    </row>
    <row r="74">
      <c r="A74" s="2" t="s">
        <v>552</v>
      </c>
      <c r="D74" s="29" t="s">
        <v>63</v>
      </c>
      <c r="E74" s="39" t="s">
        <v>7</v>
      </c>
      <c r="F74" s="39" t="s">
        <v>397</v>
      </c>
      <c r="G74" s="2" t="s">
        <v>553</v>
      </c>
      <c r="H74" s="2" t="s">
        <v>553</v>
      </c>
      <c r="I74" s="40">
        <v>20.344</v>
      </c>
      <c r="J74" s="22">
        <v>19.09134</v>
      </c>
      <c r="K74" s="22">
        <v>72.91535</v>
      </c>
      <c r="L74" s="2" t="s">
        <v>102</v>
      </c>
      <c r="N74" s="2" t="s">
        <v>67</v>
      </c>
      <c r="O74" s="30" t="s">
        <v>68</v>
      </c>
      <c r="Q74" s="39">
        <v>0.0</v>
      </c>
      <c r="R74" s="39">
        <v>0.0</v>
      </c>
      <c r="S74" s="39">
        <v>1.0</v>
      </c>
      <c r="T74" s="39">
        <v>0.0</v>
      </c>
      <c r="U74" s="39">
        <v>0.0</v>
      </c>
      <c r="V74" s="39">
        <v>0.0</v>
      </c>
      <c r="W74" s="39">
        <v>0.0</v>
      </c>
      <c r="X74" s="39">
        <v>0.0</v>
      </c>
      <c r="Y74" s="39">
        <v>0.0</v>
      </c>
      <c r="AC74" s="39">
        <v>400.0</v>
      </c>
      <c r="AE74" s="39">
        <v>1.0</v>
      </c>
    </row>
    <row r="75">
      <c r="A75" s="2" t="s">
        <v>554</v>
      </c>
      <c r="D75" s="29" t="s">
        <v>63</v>
      </c>
      <c r="E75" s="39" t="s">
        <v>7</v>
      </c>
      <c r="F75" s="39" t="s">
        <v>397</v>
      </c>
      <c r="G75" s="2" t="s">
        <v>555</v>
      </c>
      <c r="H75" s="2" t="s">
        <v>555</v>
      </c>
      <c r="I75" s="40">
        <v>19.808</v>
      </c>
      <c r="J75" s="22">
        <v>19.08758</v>
      </c>
      <c r="K75" s="22">
        <v>72.91121</v>
      </c>
      <c r="L75" s="2" t="s">
        <v>102</v>
      </c>
      <c r="N75" s="2" t="s">
        <v>67</v>
      </c>
      <c r="O75" s="30" t="s">
        <v>81</v>
      </c>
      <c r="Q75" s="39">
        <v>0.0</v>
      </c>
      <c r="R75" s="39">
        <v>0.0</v>
      </c>
      <c r="S75" s="39">
        <v>1.0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AC75" s="39">
        <v>400.0</v>
      </c>
      <c r="AE75" s="39">
        <v>1.0</v>
      </c>
    </row>
    <row r="76">
      <c r="A76" s="2" t="s">
        <v>556</v>
      </c>
      <c r="D76" s="29" t="s">
        <v>63</v>
      </c>
      <c r="E76" s="39" t="s">
        <v>7</v>
      </c>
      <c r="F76" s="39" t="s">
        <v>397</v>
      </c>
      <c r="G76" s="30" t="s">
        <v>557</v>
      </c>
      <c r="H76" s="30" t="s">
        <v>557</v>
      </c>
      <c r="I76" s="40">
        <v>19.458</v>
      </c>
      <c r="J76" s="22">
        <v>19.08466</v>
      </c>
      <c r="K76" s="22">
        <v>72.90674</v>
      </c>
      <c r="L76" s="2" t="s">
        <v>102</v>
      </c>
      <c r="N76" s="2" t="s">
        <v>67</v>
      </c>
      <c r="O76" s="30" t="s">
        <v>68</v>
      </c>
      <c r="Q76" s="39">
        <v>0.0</v>
      </c>
      <c r="R76" s="39">
        <v>0.0</v>
      </c>
      <c r="S76" s="39">
        <v>1.0</v>
      </c>
      <c r="T76" s="39">
        <v>0.0</v>
      </c>
      <c r="U76" s="39">
        <v>1.0</v>
      </c>
      <c r="V76" s="39">
        <v>0.0</v>
      </c>
      <c r="W76" s="39">
        <v>0.0</v>
      </c>
      <c r="X76" s="39">
        <v>0.0</v>
      </c>
      <c r="Y76" s="39">
        <v>0.0</v>
      </c>
      <c r="AC76" s="39">
        <v>300.0</v>
      </c>
      <c r="AE76" s="39">
        <v>1.0</v>
      </c>
    </row>
    <row r="77">
      <c r="A77" s="2" t="s">
        <v>558</v>
      </c>
      <c r="B77" s="39" t="s">
        <v>559</v>
      </c>
      <c r="C77" s="39" t="s">
        <v>560</v>
      </c>
      <c r="D77" s="29" t="s">
        <v>63</v>
      </c>
      <c r="E77" s="39" t="s">
        <v>7</v>
      </c>
      <c r="F77" s="39" t="s">
        <v>397</v>
      </c>
      <c r="G77" s="30" t="s">
        <v>561</v>
      </c>
      <c r="H77" s="30" t="s">
        <v>561</v>
      </c>
      <c r="I77" s="40">
        <v>18.983</v>
      </c>
      <c r="J77" s="22">
        <v>19.08305</v>
      </c>
      <c r="K77" s="22">
        <v>72.90338</v>
      </c>
      <c r="L77" s="2" t="s">
        <v>66</v>
      </c>
      <c r="N77" s="2" t="s">
        <v>67</v>
      </c>
      <c r="O77" s="30" t="s">
        <v>81</v>
      </c>
      <c r="Q77" s="39">
        <v>0.0</v>
      </c>
      <c r="R77" s="39">
        <v>0.0</v>
      </c>
      <c r="S77" s="39">
        <v>1.0</v>
      </c>
      <c r="T77" s="39">
        <v>0.0</v>
      </c>
      <c r="U77" s="39">
        <v>1.0</v>
      </c>
      <c r="V77" s="39">
        <v>1.0</v>
      </c>
      <c r="W77" s="39">
        <v>0.0</v>
      </c>
      <c r="X77" s="39">
        <v>3.0</v>
      </c>
      <c r="Y77" s="39">
        <v>0.0</v>
      </c>
      <c r="Z77" s="39" t="s">
        <v>562</v>
      </c>
      <c r="AA77" s="30" t="s">
        <v>83</v>
      </c>
      <c r="AC77" s="39">
        <v>200.0</v>
      </c>
      <c r="AE77" s="39">
        <v>1.0</v>
      </c>
    </row>
    <row r="78">
      <c r="A78" s="2" t="s">
        <v>563</v>
      </c>
      <c r="B78" s="39" t="s">
        <v>559</v>
      </c>
      <c r="C78" s="39" t="s">
        <v>560</v>
      </c>
      <c r="D78" s="29" t="s">
        <v>63</v>
      </c>
      <c r="E78" s="39" t="s">
        <v>7</v>
      </c>
      <c r="F78" s="39" t="s">
        <v>397</v>
      </c>
      <c r="G78" s="2" t="s">
        <v>564</v>
      </c>
      <c r="H78" s="2" t="s">
        <v>564</v>
      </c>
      <c r="I78" s="40">
        <v>18.478</v>
      </c>
      <c r="J78" s="22">
        <v>19.08143</v>
      </c>
      <c r="K78" s="22">
        <v>72.90041</v>
      </c>
      <c r="L78" s="2" t="s">
        <v>66</v>
      </c>
      <c r="N78" s="2" t="s">
        <v>67</v>
      </c>
      <c r="O78" s="30" t="s">
        <v>67</v>
      </c>
      <c r="Q78" s="39">
        <v>0.0</v>
      </c>
      <c r="R78" s="39">
        <v>0.0</v>
      </c>
      <c r="S78" s="39">
        <v>1.0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AC78" s="39">
        <v>200.0</v>
      </c>
      <c r="AE78" s="39">
        <v>1.0</v>
      </c>
    </row>
    <row r="79">
      <c r="A79" s="2" t="s">
        <v>565</v>
      </c>
      <c r="B79" s="39" t="s">
        <v>559</v>
      </c>
      <c r="C79" s="39" t="s">
        <v>560</v>
      </c>
      <c r="D79" s="29" t="s">
        <v>63</v>
      </c>
      <c r="E79" s="39" t="s">
        <v>7</v>
      </c>
      <c r="F79" s="39" t="s">
        <v>397</v>
      </c>
      <c r="G79" s="2" t="s">
        <v>566</v>
      </c>
      <c r="H79" s="2" t="s">
        <v>566</v>
      </c>
      <c r="I79" s="40">
        <v>18.127</v>
      </c>
      <c r="J79" s="22">
        <v>19.0783</v>
      </c>
      <c r="K79" s="22">
        <v>72.89609</v>
      </c>
      <c r="L79" s="2" t="s">
        <v>66</v>
      </c>
      <c r="N79" s="2" t="s">
        <v>67</v>
      </c>
      <c r="O79" s="30" t="s">
        <v>68</v>
      </c>
      <c r="Q79" s="39">
        <v>0.0</v>
      </c>
      <c r="R79" s="39">
        <v>0.0</v>
      </c>
      <c r="S79" s="39">
        <v>1.0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AC79" s="39">
        <v>200.0</v>
      </c>
      <c r="AE79" s="39">
        <v>1.0</v>
      </c>
    </row>
    <row r="80">
      <c r="A80" s="2" t="s">
        <v>567</v>
      </c>
      <c r="B80" s="39" t="s">
        <v>559</v>
      </c>
      <c r="C80" s="39" t="s">
        <v>560</v>
      </c>
      <c r="D80" s="29" t="s">
        <v>63</v>
      </c>
      <c r="E80" s="39" t="s">
        <v>7</v>
      </c>
      <c r="F80" s="39" t="s">
        <v>397</v>
      </c>
      <c r="G80" s="2" t="s">
        <v>568</v>
      </c>
      <c r="H80" s="2" t="s">
        <v>568</v>
      </c>
      <c r="I80" s="40">
        <v>17.63</v>
      </c>
      <c r="J80" s="22">
        <v>19.0759</v>
      </c>
      <c r="K80" s="22">
        <v>72.89298</v>
      </c>
      <c r="L80" s="2" t="s">
        <v>66</v>
      </c>
      <c r="N80" s="2" t="s">
        <v>67</v>
      </c>
      <c r="O80" s="30" t="s">
        <v>68</v>
      </c>
      <c r="Q80" s="39">
        <v>0.0</v>
      </c>
      <c r="R80" s="39">
        <v>0.0</v>
      </c>
      <c r="S80" s="39">
        <v>1.0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AC80" s="39">
        <v>250.0</v>
      </c>
      <c r="AE80" s="39">
        <v>1.0</v>
      </c>
    </row>
    <row r="81">
      <c r="A81" s="2" t="s">
        <v>569</v>
      </c>
      <c r="D81" s="29" t="s">
        <v>63</v>
      </c>
      <c r="E81" s="39" t="s">
        <v>7</v>
      </c>
      <c r="F81" s="39" t="s">
        <v>397</v>
      </c>
      <c r="G81" s="2" t="s">
        <v>570</v>
      </c>
      <c r="H81" s="2" t="s">
        <v>570</v>
      </c>
      <c r="I81" s="40">
        <v>17.144</v>
      </c>
      <c r="J81" s="22">
        <v>19.0733</v>
      </c>
      <c r="K81" s="22">
        <v>72.88967</v>
      </c>
      <c r="L81" s="2" t="s">
        <v>102</v>
      </c>
      <c r="N81" s="2" t="s">
        <v>67</v>
      </c>
      <c r="O81" s="30" t="s">
        <v>68</v>
      </c>
      <c r="Q81" s="39">
        <v>0.0</v>
      </c>
      <c r="R81" s="39">
        <v>0.0</v>
      </c>
      <c r="S81" s="39">
        <v>1.0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AC81" s="39">
        <v>200.0</v>
      </c>
      <c r="AE81" s="39">
        <v>1.0</v>
      </c>
    </row>
    <row r="82">
      <c r="A82" s="2" t="s">
        <v>571</v>
      </c>
      <c r="D82" s="29" t="s">
        <v>63</v>
      </c>
      <c r="E82" s="39" t="s">
        <v>7</v>
      </c>
      <c r="F82" s="39" t="s">
        <v>397</v>
      </c>
      <c r="G82" s="2" t="s">
        <v>572</v>
      </c>
      <c r="H82" s="2" t="s">
        <v>572</v>
      </c>
      <c r="I82" s="40">
        <v>16.485</v>
      </c>
      <c r="J82" s="22">
        <v>19.0711</v>
      </c>
      <c r="K82" s="22">
        <v>72.88684</v>
      </c>
      <c r="L82" s="2" t="s">
        <v>102</v>
      </c>
      <c r="N82" s="2" t="s">
        <v>67</v>
      </c>
      <c r="O82" s="30" t="s">
        <v>68</v>
      </c>
      <c r="Q82" s="39">
        <v>0.0</v>
      </c>
      <c r="R82" s="39">
        <v>0.0</v>
      </c>
      <c r="S82" s="39">
        <v>1.0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AC82" s="39">
        <v>200.0</v>
      </c>
      <c r="AE82" s="39">
        <v>1.0</v>
      </c>
    </row>
    <row r="83">
      <c r="A83" s="2" t="s">
        <v>573</v>
      </c>
      <c r="D83" s="29" t="s">
        <v>63</v>
      </c>
      <c r="E83" s="39" t="s">
        <v>7</v>
      </c>
      <c r="F83" s="39" t="s">
        <v>397</v>
      </c>
      <c r="G83" s="2" t="s">
        <v>574</v>
      </c>
      <c r="H83" s="2" t="s">
        <v>574</v>
      </c>
      <c r="I83" s="40">
        <v>15.907</v>
      </c>
      <c r="J83" s="22">
        <v>19.06726</v>
      </c>
      <c r="K83" s="22">
        <v>72.8822</v>
      </c>
      <c r="L83" s="2" t="s">
        <v>102</v>
      </c>
      <c r="N83" s="2" t="s">
        <v>67</v>
      </c>
      <c r="O83" s="30" t="s">
        <v>67</v>
      </c>
      <c r="Q83" s="39">
        <v>0.0</v>
      </c>
      <c r="R83" s="39">
        <v>0.0</v>
      </c>
      <c r="S83" s="39">
        <v>1.0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AC83" s="39">
        <v>200.0</v>
      </c>
      <c r="AE83" s="39">
        <v>1.0</v>
      </c>
    </row>
    <row r="84">
      <c r="A84" s="2" t="s">
        <v>575</v>
      </c>
      <c r="B84" s="39" t="s">
        <v>172</v>
      </c>
      <c r="C84" s="39" t="s">
        <v>173</v>
      </c>
      <c r="D84" s="29" t="s">
        <v>63</v>
      </c>
      <c r="E84" s="39" t="s">
        <v>7</v>
      </c>
      <c r="F84" s="39" t="s">
        <v>397</v>
      </c>
      <c r="G84" s="30" t="s">
        <v>576</v>
      </c>
      <c r="H84" s="30" t="s">
        <v>576</v>
      </c>
      <c r="J84" s="2"/>
      <c r="K84" s="2"/>
      <c r="L84" s="30" t="s">
        <v>111</v>
      </c>
      <c r="N84" s="2" t="s">
        <v>67</v>
      </c>
      <c r="O84" s="30" t="s">
        <v>68</v>
      </c>
      <c r="Q84" s="39">
        <v>0.0</v>
      </c>
      <c r="R84" s="39">
        <v>0.0</v>
      </c>
      <c r="S84" s="39">
        <v>1.0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AC84" s="39">
        <v>150.0</v>
      </c>
      <c r="AE84" s="39">
        <v>1.0</v>
      </c>
    </row>
    <row r="85">
      <c r="A85" s="2" t="s">
        <v>577</v>
      </c>
      <c r="B85" s="39" t="s">
        <v>172</v>
      </c>
      <c r="C85" s="39" t="s">
        <v>173</v>
      </c>
      <c r="D85" s="29" t="s">
        <v>63</v>
      </c>
      <c r="E85" s="39" t="s">
        <v>7</v>
      </c>
      <c r="F85" s="39" t="s">
        <v>397</v>
      </c>
      <c r="G85" s="2" t="s">
        <v>578</v>
      </c>
      <c r="H85" s="2" t="s">
        <v>578</v>
      </c>
      <c r="I85" s="40">
        <v>15.241</v>
      </c>
      <c r="J85" s="22">
        <v>19.06401</v>
      </c>
      <c r="K85" s="22">
        <v>72.87786</v>
      </c>
      <c r="L85" s="2" t="s">
        <v>66</v>
      </c>
      <c r="N85" s="39" t="s">
        <v>81</v>
      </c>
      <c r="O85" s="30" t="s">
        <v>68</v>
      </c>
      <c r="Q85" s="39">
        <v>1.0</v>
      </c>
      <c r="R85" s="39">
        <v>0.0</v>
      </c>
      <c r="S85" s="39">
        <v>0.0</v>
      </c>
      <c r="T85" s="39">
        <v>0.0</v>
      </c>
      <c r="U85" s="39">
        <v>1.0</v>
      </c>
      <c r="V85" s="39">
        <v>0.0</v>
      </c>
      <c r="W85" s="39">
        <v>0.0</v>
      </c>
      <c r="X85" s="39">
        <v>0.0</v>
      </c>
      <c r="Y85" s="39">
        <v>0.0</v>
      </c>
      <c r="AC85" s="39">
        <v>200.0</v>
      </c>
      <c r="AE85" s="39">
        <v>1.0</v>
      </c>
    </row>
    <row r="86">
      <c r="A86" s="2" t="s">
        <v>579</v>
      </c>
      <c r="B86" s="39" t="s">
        <v>172</v>
      </c>
      <c r="C86" s="39" t="s">
        <v>173</v>
      </c>
      <c r="D86" s="29" t="s">
        <v>63</v>
      </c>
      <c r="E86" s="39" t="s">
        <v>7</v>
      </c>
      <c r="F86" s="39" t="s">
        <v>397</v>
      </c>
      <c r="G86" s="2" t="s">
        <v>580</v>
      </c>
      <c r="H86" s="2" t="s">
        <v>580</v>
      </c>
      <c r="I86" s="40">
        <v>14.836</v>
      </c>
      <c r="J86" s="22">
        <v>19.05979</v>
      </c>
      <c r="K86" s="22">
        <v>72.87276</v>
      </c>
      <c r="L86" s="2" t="s">
        <v>66</v>
      </c>
      <c r="N86" s="2" t="s">
        <v>178</v>
      </c>
      <c r="O86" s="30" t="s">
        <v>67</v>
      </c>
      <c r="Q86" s="39">
        <v>0.0</v>
      </c>
      <c r="R86" s="39">
        <v>0.0</v>
      </c>
      <c r="S86" s="39">
        <v>1.0</v>
      </c>
      <c r="T86" s="39">
        <v>0.0</v>
      </c>
      <c r="U86" s="39">
        <v>0.0</v>
      </c>
      <c r="V86" s="39">
        <v>0.0</v>
      </c>
      <c r="W86" s="39">
        <v>0.0</v>
      </c>
      <c r="X86" s="39">
        <v>0.0</v>
      </c>
      <c r="Y86" s="39">
        <v>0.0</v>
      </c>
      <c r="AC86" s="39">
        <v>400.0</v>
      </c>
      <c r="AE86" s="39">
        <v>1.0</v>
      </c>
    </row>
    <row r="87">
      <c r="A87" s="2" t="s">
        <v>581</v>
      </c>
      <c r="D87" s="29" t="s">
        <v>63</v>
      </c>
      <c r="E87" s="39" t="s">
        <v>7</v>
      </c>
      <c r="F87" s="39" t="s">
        <v>397</v>
      </c>
      <c r="G87" s="2" t="s">
        <v>582</v>
      </c>
      <c r="H87" s="2" t="s">
        <v>582</v>
      </c>
      <c r="I87" s="40">
        <v>14.258</v>
      </c>
      <c r="J87" s="22">
        <v>19.05637</v>
      </c>
      <c r="K87" s="22">
        <v>72.87031</v>
      </c>
      <c r="L87" s="2" t="s">
        <v>102</v>
      </c>
      <c r="N87" s="2" t="s">
        <v>67</v>
      </c>
      <c r="O87" s="30" t="s">
        <v>67</v>
      </c>
      <c r="Q87" s="39">
        <v>0.0</v>
      </c>
      <c r="R87" s="39">
        <v>0.0</v>
      </c>
      <c r="S87" s="39">
        <v>1.0</v>
      </c>
      <c r="T87" s="39">
        <v>0.0</v>
      </c>
      <c r="U87" s="39">
        <v>0.0</v>
      </c>
      <c r="V87" s="39">
        <v>0.0</v>
      </c>
      <c r="W87" s="39">
        <v>0.0</v>
      </c>
      <c r="X87" s="39">
        <v>0.0</v>
      </c>
      <c r="Y87" s="39">
        <v>0.0</v>
      </c>
      <c r="AC87" s="39">
        <v>200.0</v>
      </c>
      <c r="AE87" s="39">
        <v>1.0</v>
      </c>
    </row>
    <row r="88">
      <c r="A88" s="2" t="s">
        <v>583</v>
      </c>
      <c r="D88" s="29" t="s">
        <v>63</v>
      </c>
      <c r="E88" s="39" t="s">
        <v>7</v>
      </c>
      <c r="F88" s="39" t="s">
        <v>397</v>
      </c>
      <c r="G88" s="2" t="s">
        <v>584</v>
      </c>
      <c r="H88" s="2" t="s">
        <v>584</v>
      </c>
      <c r="I88" s="40">
        <v>13.732</v>
      </c>
      <c r="J88" s="22">
        <v>19.05141</v>
      </c>
      <c r="K88" s="22">
        <v>72.86689</v>
      </c>
      <c r="L88" s="2" t="s">
        <v>102</v>
      </c>
      <c r="N88" s="2" t="s">
        <v>67</v>
      </c>
      <c r="O88" s="30" t="s">
        <v>68</v>
      </c>
      <c r="Q88" s="39">
        <v>0.0</v>
      </c>
      <c r="R88" s="39">
        <v>0.0</v>
      </c>
      <c r="S88" s="39">
        <v>1.0</v>
      </c>
      <c r="T88" s="39">
        <v>0.0</v>
      </c>
      <c r="U88" s="39">
        <v>0.0</v>
      </c>
      <c r="V88" s="39">
        <v>0.0</v>
      </c>
      <c r="W88" s="39">
        <v>0.0</v>
      </c>
      <c r="X88" s="39">
        <v>0.0</v>
      </c>
      <c r="Y88" s="39">
        <v>0.0</v>
      </c>
      <c r="AC88" s="39">
        <v>300.0</v>
      </c>
      <c r="AE88" s="39">
        <v>1.0</v>
      </c>
    </row>
    <row r="89">
      <c r="A89" s="2" t="s">
        <v>585</v>
      </c>
      <c r="D89" s="29" t="s">
        <v>63</v>
      </c>
      <c r="E89" s="39" t="s">
        <v>7</v>
      </c>
      <c r="F89" s="39" t="s">
        <v>397</v>
      </c>
      <c r="G89" s="2" t="s">
        <v>586</v>
      </c>
      <c r="H89" s="2" t="s">
        <v>586</v>
      </c>
      <c r="I89" s="40">
        <v>13.302</v>
      </c>
      <c r="J89" s="22">
        <v>19.04644</v>
      </c>
      <c r="K89" s="22">
        <v>72.86348</v>
      </c>
      <c r="L89" s="2" t="s">
        <v>102</v>
      </c>
      <c r="N89" s="2" t="s">
        <v>67</v>
      </c>
      <c r="O89" s="30" t="s">
        <v>68</v>
      </c>
      <c r="Q89" s="39">
        <v>0.0</v>
      </c>
      <c r="R89" s="39">
        <v>0.0</v>
      </c>
      <c r="S89" s="39">
        <v>1.0</v>
      </c>
      <c r="T89" s="39">
        <v>0.0</v>
      </c>
      <c r="U89" s="39">
        <v>0.0</v>
      </c>
      <c r="V89" s="39">
        <v>0.0</v>
      </c>
      <c r="W89" s="39">
        <v>0.0</v>
      </c>
      <c r="X89" s="39">
        <v>0.0</v>
      </c>
      <c r="Y89" s="39">
        <v>0.0</v>
      </c>
      <c r="AC89" s="39">
        <v>300.0</v>
      </c>
      <c r="AE89" s="39">
        <v>1.0</v>
      </c>
    </row>
    <row r="90">
      <c r="A90" s="2" t="s">
        <v>587</v>
      </c>
      <c r="D90" s="29" t="s">
        <v>63</v>
      </c>
      <c r="E90" s="39" t="s">
        <v>7</v>
      </c>
      <c r="F90" s="39" t="s">
        <v>397</v>
      </c>
      <c r="G90" s="2" t="s">
        <v>588</v>
      </c>
      <c r="H90" s="2" t="s">
        <v>588</v>
      </c>
      <c r="I90" s="40">
        <v>12.463</v>
      </c>
      <c r="J90" s="22">
        <v>19.04333</v>
      </c>
      <c r="K90" s="22">
        <v>72.86132</v>
      </c>
      <c r="L90" s="2" t="s">
        <v>102</v>
      </c>
      <c r="N90" s="2" t="s">
        <v>67</v>
      </c>
      <c r="O90" s="30" t="s">
        <v>68</v>
      </c>
      <c r="Q90" s="39">
        <v>0.0</v>
      </c>
      <c r="R90" s="39">
        <v>0.0</v>
      </c>
      <c r="S90" s="39">
        <v>1.0</v>
      </c>
      <c r="T90" s="39">
        <v>0.0</v>
      </c>
      <c r="U90" s="39">
        <v>0.0</v>
      </c>
      <c r="V90" s="39">
        <v>0.0</v>
      </c>
      <c r="W90" s="39">
        <v>0.0</v>
      </c>
      <c r="X90" s="39">
        <v>0.0</v>
      </c>
      <c r="Y90" s="39">
        <v>0.0</v>
      </c>
      <c r="AC90" s="39">
        <v>200.0</v>
      </c>
      <c r="AE90" s="39">
        <v>1.0</v>
      </c>
    </row>
    <row r="91">
      <c r="A91" s="2" t="s">
        <v>589</v>
      </c>
      <c r="D91" s="29" t="s">
        <v>63</v>
      </c>
      <c r="E91" s="39" t="s">
        <v>7</v>
      </c>
      <c r="F91" s="39" t="s">
        <v>397</v>
      </c>
      <c r="G91" s="2" t="s">
        <v>590</v>
      </c>
      <c r="H91" s="2" t="s">
        <v>590</v>
      </c>
      <c r="I91" s="40">
        <v>12.096</v>
      </c>
      <c r="J91" s="22">
        <v>19.0404</v>
      </c>
      <c r="K91" s="22">
        <v>72.85931</v>
      </c>
      <c r="L91" s="2" t="s">
        <v>102</v>
      </c>
      <c r="N91" s="2" t="s">
        <v>67</v>
      </c>
      <c r="O91" s="30" t="s">
        <v>68</v>
      </c>
      <c r="Q91" s="39">
        <v>0.0</v>
      </c>
      <c r="R91" s="39">
        <v>0.0</v>
      </c>
      <c r="S91" s="39">
        <v>1.0</v>
      </c>
      <c r="T91" s="39">
        <v>0.0</v>
      </c>
      <c r="U91" s="39">
        <v>0.0</v>
      </c>
      <c r="V91" s="39">
        <v>0.0</v>
      </c>
      <c r="W91" s="39">
        <v>0.0</v>
      </c>
      <c r="X91" s="39">
        <v>0.0</v>
      </c>
      <c r="Y91" s="39">
        <v>0.0</v>
      </c>
      <c r="AC91" s="39">
        <v>200.0</v>
      </c>
      <c r="AE91" s="39">
        <v>1.0</v>
      </c>
    </row>
    <row r="92">
      <c r="A92" s="2" t="s">
        <v>591</v>
      </c>
      <c r="D92" s="29" t="s">
        <v>63</v>
      </c>
      <c r="E92" s="39" t="s">
        <v>7</v>
      </c>
      <c r="F92" s="39" t="s">
        <v>397</v>
      </c>
      <c r="G92" s="2" t="s">
        <v>592</v>
      </c>
      <c r="H92" s="2" t="s">
        <v>592</v>
      </c>
      <c r="I92" s="40">
        <v>11.654</v>
      </c>
      <c r="J92" s="22">
        <v>19.03755</v>
      </c>
      <c r="K92" s="22">
        <v>72.85725</v>
      </c>
      <c r="L92" s="2" t="s">
        <v>102</v>
      </c>
      <c r="N92" s="2" t="s">
        <v>67</v>
      </c>
      <c r="O92" s="30" t="s">
        <v>68</v>
      </c>
      <c r="Q92" s="39">
        <v>0.0</v>
      </c>
      <c r="R92" s="39">
        <v>0.0</v>
      </c>
      <c r="S92" s="39">
        <v>1.0</v>
      </c>
      <c r="T92" s="39">
        <v>0.0</v>
      </c>
      <c r="U92" s="39">
        <v>0.0</v>
      </c>
      <c r="V92" s="39">
        <v>0.0</v>
      </c>
      <c r="W92" s="39">
        <v>0.0</v>
      </c>
      <c r="X92" s="39">
        <v>0.0</v>
      </c>
      <c r="Y92" s="39">
        <v>0.0</v>
      </c>
      <c r="AC92" s="39">
        <v>200.0</v>
      </c>
      <c r="AE92" s="39">
        <v>1.0</v>
      </c>
    </row>
    <row r="93">
      <c r="A93" s="2" t="s">
        <v>593</v>
      </c>
      <c r="B93" s="39" t="s">
        <v>137</v>
      </c>
      <c r="C93" s="39" t="s">
        <v>138</v>
      </c>
      <c r="D93" s="29" t="s">
        <v>63</v>
      </c>
      <c r="E93" s="39" t="s">
        <v>7</v>
      </c>
      <c r="F93" s="39" t="s">
        <v>397</v>
      </c>
      <c r="G93" s="2" t="s">
        <v>594</v>
      </c>
      <c r="H93" s="2" t="s">
        <v>594</v>
      </c>
      <c r="I93" s="40">
        <v>11.183</v>
      </c>
      <c r="J93" s="22">
        <v>19.03484</v>
      </c>
      <c r="K93" s="22">
        <v>72.85537</v>
      </c>
      <c r="L93" s="2" t="s">
        <v>66</v>
      </c>
      <c r="N93" s="39" t="s">
        <v>81</v>
      </c>
      <c r="O93" s="30" t="s">
        <v>68</v>
      </c>
      <c r="Q93" s="39">
        <v>1.0</v>
      </c>
      <c r="R93" s="39">
        <v>0.0</v>
      </c>
      <c r="S93" s="39">
        <v>0.0</v>
      </c>
      <c r="T93" s="39">
        <v>0.0</v>
      </c>
      <c r="U93" s="39">
        <v>0.0</v>
      </c>
      <c r="V93" s="39">
        <v>1.0</v>
      </c>
      <c r="W93" s="39">
        <v>0.0</v>
      </c>
      <c r="X93" s="39">
        <v>0.0</v>
      </c>
      <c r="Y93" s="39">
        <v>2.0</v>
      </c>
      <c r="Z93" s="39" t="s">
        <v>595</v>
      </c>
      <c r="AA93" s="30" t="s">
        <v>315</v>
      </c>
      <c r="AC93" s="39">
        <v>200.0</v>
      </c>
      <c r="AE93" s="39">
        <v>1.0</v>
      </c>
    </row>
    <row r="94">
      <c r="A94" s="2" t="s">
        <v>596</v>
      </c>
      <c r="B94" s="39" t="s">
        <v>137</v>
      </c>
      <c r="C94" s="39" t="s">
        <v>138</v>
      </c>
      <c r="D94" s="29" t="s">
        <v>63</v>
      </c>
      <c r="E94" s="39" t="s">
        <v>7</v>
      </c>
      <c r="F94" s="39" t="s">
        <v>397</v>
      </c>
      <c r="G94" s="2" t="s">
        <v>597</v>
      </c>
      <c r="H94" s="2" t="s">
        <v>597</v>
      </c>
      <c r="I94" s="40">
        <v>10.849</v>
      </c>
      <c r="J94" s="22">
        <v>19.0315</v>
      </c>
      <c r="K94" s="22">
        <v>72.85315</v>
      </c>
      <c r="L94" s="2" t="s">
        <v>66</v>
      </c>
      <c r="N94" s="2" t="s">
        <v>67</v>
      </c>
      <c r="O94" s="30" t="s">
        <v>68</v>
      </c>
      <c r="Q94" s="39">
        <v>0.0</v>
      </c>
      <c r="R94" s="39">
        <v>0.0</v>
      </c>
      <c r="S94" s="39">
        <v>1.0</v>
      </c>
      <c r="T94" s="39">
        <v>0.0</v>
      </c>
      <c r="U94" s="39">
        <v>1.0</v>
      </c>
      <c r="V94" s="39">
        <v>0.0</v>
      </c>
      <c r="W94" s="39">
        <v>0.0</v>
      </c>
      <c r="X94" s="39">
        <v>0.0</v>
      </c>
      <c r="Y94" s="39">
        <v>0.0</v>
      </c>
      <c r="AC94" s="39">
        <v>200.0</v>
      </c>
      <c r="AE94" s="39">
        <v>1.0</v>
      </c>
    </row>
    <row r="95">
      <c r="A95" s="2" t="s">
        <v>598</v>
      </c>
      <c r="B95" s="39" t="s">
        <v>137</v>
      </c>
      <c r="C95" s="39" t="s">
        <v>138</v>
      </c>
      <c r="D95" s="29" t="s">
        <v>63</v>
      </c>
      <c r="E95" s="39" t="s">
        <v>7</v>
      </c>
      <c r="F95" s="39" t="s">
        <v>397</v>
      </c>
      <c r="G95" s="2" t="s">
        <v>72</v>
      </c>
      <c r="I95" s="40">
        <v>10.389</v>
      </c>
      <c r="J95" s="22">
        <v>19.02701</v>
      </c>
      <c r="K95" s="22">
        <v>72.85019</v>
      </c>
      <c r="L95" s="2" t="s">
        <v>66</v>
      </c>
      <c r="N95" s="2" t="s">
        <v>67</v>
      </c>
      <c r="O95" s="30" t="s">
        <v>68</v>
      </c>
      <c r="Q95" s="39">
        <v>0.0</v>
      </c>
      <c r="R95" s="39">
        <v>0.0</v>
      </c>
      <c r="S95" s="39">
        <v>1.0</v>
      </c>
      <c r="T95" s="39">
        <v>0.0</v>
      </c>
      <c r="U95" s="39">
        <v>0.0</v>
      </c>
      <c r="V95" s="39">
        <v>1.0</v>
      </c>
      <c r="W95" s="39">
        <v>1.0</v>
      </c>
      <c r="X95" s="39">
        <v>2.0</v>
      </c>
      <c r="Y95" s="39">
        <v>0.0</v>
      </c>
      <c r="Z95" s="39" t="s">
        <v>599</v>
      </c>
      <c r="AA95" s="30" t="s">
        <v>78</v>
      </c>
      <c r="AC95" s="39">
        <v>200.0</v>
      </c>
      <c r="AE95" s="39">
        <v>1.0</v>
      </c>
    </row>
    <row r="96">
      <c r="A96" s="2" t="s">
        <v>600</v>
      </c>
      <c r="B96" s="39" t="s">
        <v>137</v>
      </c>
      <c r="C96" s="39" t="s">
        <v>138</v>
      </c>
      <c r="D96" s="29" t="s">
        <v>63</v>
      </c>
      <c r="E96" s="39" t="s">
        <v>7</v>
      </c>
      <c r="F96" s="39" t="s">
        <v>397</v>
      </c>
      <c r="G96" s="2" t="s">
        <v>601</v>
      </c>
      <c r="H96" s="2" t="s">
        <v>601</v>
      </c>
      <c r="I96" s="40">
        <v>9.993</v>
      </c>
      <c r="J96" s="22">
        <v>19.02349</v>
      </c>
      <c r="K96" s="22">
        <v>72.84763</v>
      </c>
      <c r="L96" s="2" t="s">
        <v>66</v>
      </c>
      <c r="N96" s="2" t="s">
        <v>67</v>
      </c>
      <c r="O96" s="30" t="s">
        <v>67</v>
      </c>
      <c r="Q96" s="39">
        <v>0.0</v>
      </c>
      <c r="R96" s="39">
        <v>0.0</v>
      </c>
      <c r="S96" s="39">
        <v>1.0</v>
      </c>
      <c r="T96" s="39">
        <v>0.0</v>
      </c>
      <c r="U96" s="39">
        <v>0.0</v>
      </c>
      <c r="V96" s="39">
        <v>0.0</v>
      </c>
      <c r="W96" s="39">
        <v>0.0</v>
      </c>
      <c r="X96" s="39">
        <v>0.0</v>
      </c>
      <c r="Y96" s="39">
        <v>0.0</v>
      </c>
      <c r="AC96" s="39">
        <v>200.0</v>
      </c>
      <c r="AE96" s="39">
        <v>1.0</v>
      </c>
    </row>
    <row r="97">
      <c r="A97" s="2" t="s">
        <v>602</v>
      </c>
      <c r="B97" s="39" t="s">
        <v>137</v>
      </c>
      <c r="C97" s="39" t="s">
        <v>138</v>
      </c>
      <c r="D97" s="29" t="s">
        <v>63</v>
      </c>
      <c r="E97" s="39" t="s">
        <v>7</v>
      </c>
      <c r="F97" s="39" t="s">
        <v>397</v>
      </c>
      <c r="G97" s="2" t="s">
        <v>603</v>
      </c>
      <c r="H97" s="2" t="s">
        <v>603</v>
      </c>
      <c r="I97" s="40">
        <v>9.516</v>
      </c>
      <c r="J97" s="22">
        <v>19.02075</v>
      </c>
      <c r="K97" s="22">
        <v>72.84566</v>
      </c>
      <c r="L97" s="2" t="s">
        <v>66</v>
      </c>
      <c r="N97" s="39" t="s">
        <v>81</v>
      </c>
      <c r="O97" s="30" t="s">
        <v>68</v>
      </c>
      <c r="Q97" s="39">
        <v>1.0</v>
      </c>
      <c r="R97" s="39">
        <v>0.0</v>
      </c>
      <c r="S97" s="39">
        <v>0.0</v>
      </c>
      <c r="T97" s="39">
        <v>0.0</v>
      </c>
      <c r="U97" s="39">
        <v>0.0</v>
      </c>
      <c r="V97" s="39">
        <v>1.0</v>
      </c>
      <c r="W97" s="39">
        <v>0.0</v>
      </c>
      <c r="X97" s="39">
        <v>0.0</v>
      </c>
      <c r="Y97" s="39">
        <v>1.0</v>
      </c>
      <c r="Z97" s="39" t="s">
        <v>604</v>
      </c>
      <c r="AA97" s="30" t="s">
        <v>97</v>
      </c>
      <c r="AC97" s="39">
        <v>200.0</v>
      </c>
      <c r="AE97" s="39">
        <v>1.0</v>
      </c>
    </row>
    <row r="98">
      <c r="A98" s="2" t="s">
        <v>605</v>
      </c>
      <c r="B98" s="39" t="s">
        <v>137</v>
      </c>
      <c r="C98" s="39" t="s">
        <v>138</v>
      </c>
      <c r="D98" s="29" t="s">
        <v>63</v>
      </c>
      <c r="E98" s="39" t="s">
        <v>7</v>
      </c>
      <c r="F98" s="39" t="s">
        <v>397</v>
      </c>
      <c r="G98" s="2" t="s">
        <v>606</v>
      </c>
      <c r="H98" s="2" t="s">
        <v>606</v>
      </c>
      <c r="I98" s="40">
        <v>9.126</v>
      </c>
      <c r="J98" s="22">
        <v>19.01686</v>
      </c>
      <c r="K98" s="22">
        <v>72.84296</v>
      </c>
      <c r="L98" s="2" t="s">
        <v>66</v>
      </c>
      <c r="N98" s="2" t="s">
        <v>67</v>
      </c>
      <c r="O98" s="30" t="s">
        <v>68</v>
      </c>
      <c r="Q98" s="39">
        <v>0.0</v>
      </c>
      <c r="R98" s="39">
        <v>0.0</v>
      </c>
      <c r="S98" s="39">
        <v>1.0</v>
      </c>
      <c r="T98" s="39">
        <v>0.0</v>
      </c>
      <c r="U98" s="39">
        <v>0.0</v>
      </c>
      <c r="V98" s="39">
        <v>0.0</v>
      </c>
      <c r="W98" s="39">
        <v>0.0</v>
      </c>
      <c r="X98" s="39">
        <v>0.0</v>
      </c>
      <c r="Y98" s="39">
        <v>0.0</v>
      </c>
      <c r="AC98" s="39">
        <v>200.0</v>
      </c>
      <c r="AE98" s="39">
        <v>1.0</v>
      </c>
    </row>
    <row r="99">
      <c r="A99" s="2" t="s">
        <v>607</v>
      </c>
      <c r="B99" s="39" t="s">
        <v>137</v>
      </c>
      <c r="C99" s="39" t="s">
        <v>138</v>
      </c>
      <c r="D99" s="29" t="s">
        <v>63</v>
      </c>
      <c r="E99" s="39" t="s">
        <v>7</v>
      </c>
      <c r="F99" s="39" t="s">
        <v>397</v>
      </c>
      <c r="G99" s="2" t="s">
        <v>608</v>
      </c>
      <c r="H99" s="2" t="s">
        <v>608</v>
      </c>
      <c r="I99" s="40">
        <v>8.736</v>
      </c>
      <c r="J99" s="22">
        <v>19.01474</v>
      </c>
      <c r="K99" s="22">
        <v>72.84156</v>
      </c>
      <c r="L99" s="2" t="s">
        <v>66</v>
      </c>
      <c r="N99" s="2" t="s">
        <v>67</v>
      </c>
      <c r="O99" s="30" t="s">
        <v>68</v>
      </c>
      <c r="Q99" s="39">
        <v>0.0</v>
      </c>
      <c r="R99" s="39">
        <v>0.0</v>
      </c>
      <c r="S99" s="39">
        <v>1.0</v>
      </c>
      <c r="T99" s="39">
        <v>0.0</v>
      </c>
      <c r="U99" s="39">
        <v>0.0</v>
      </c>
      <c r="V99" s="39">
        <v>0.0</v>
      </c>
      <c r="W99" s="39">
        <v>0.0</v>
      </c>
      <c r="X99" s="39">
        <v>0.0</v>
      </c>
      <c r="Y99" s="39">
        <v>0.0</v>
      </c>
      <c r="AC99" s="39">
        <v>200.0</v>
      </c>
      <c r="AE99" s="39">
        <v>1.0</v>
      </c>
    </row>
    <row r="100">
      <c r="A100" s="2" t="s">
        <v>609</v>
      </c>
      <c r="B100" s="39" t="s">
        <v>137</v>
      </c>
      <c r="C100" s="39" t="s">
        <v>138</v>
      </c>
      <c r="D100" s="29" t="s">
        <v>63</v>
      </c>
      <c r="E100" s="39" t="s">
        <v>7</v>
      </c>
      <c r="F100" s="39" t="s">
        <v>397</v>
      </c>
      <c r="G100" s="2" t="s">
        <v>148</v>
      </c>
      <c r="J100" s="22">
        <v>19.01492</v>
      </c>
      <c r="K100" s="22">
        <v>72.84156</v>
      </c>
      <c r="L100" s="2" t="s">
        <v>66</v>
      </c>
      <c r="N100" s="39" t="s">
        <v>81</v>
      </c>
      <c r="O100" s="30" t="s">
        <v>68</v>
      </c>
      <c r="Q100" s="39">
        <v>1.0</v>
      </c>
      <c r="R100" s="39">
        <v>0.0</v>
      </c>
      <c r="S100" s="39">
        <v>0.0</v>
      </c>
      <c r="T100" s="39">
        <v>0.0</v>
      </c>
      <c r="U100" s="39">
        <v>0.0</v>
      </c>
      <c r="V100" s="39">
        <v>1.0</v>
      </c>
      <c r="W100" s="39">
        <v>0.0</v>
      </c>
      <c r="X100" s="39">
        <v>0.0</v>
      </c>
      <c r="Y100" s="39">
        <v>0.0</v>
      </c>
      <c r="AC100" s="39">
        <v>200.0</v>
      </c>
      <c r="AE100" s="39">
        <v>1.0</v>
      </c>
    </row>
    <row r="101">
      <c r="A101" s="2" t="s">
        <v>610</v>
      </c>
      <c r="D101" s="29" t="s">
        <v>63</v>
      </c>
      <c r="E101" s="39" t="s">
        <v>7</v>
      </c>
      <c r="F101" s="39" t="s">
        <v>397</v>
      </c>
      <c r="G101" s="2" t="s">
        <v>611</v>
      </c>
      <c r="H101" s="2" t="s">
        <v>611</v>
      </c>
      <c r="I101" s="40">
        <v>8.346</v>
      </c>
      <c r="J101" s="22">
        <v>19.0131</v>
      </c>
      <c r="K101" s="22">
        <v>72.84034</v>
      </c>
      <c r="L101" s="2" t="s">
        <v>102</v>
      </c>
      <c r="N101" s="39" t="s">
        <v>81</v>
      </c>
      <c r="O101" s="30" t="s">
        <v>68</v>
      </c>
      <c r="Q101" s="39">
        <v>1.0</v>
      </c>
      <c r="R101" s="39">
        <v>0.0</v>
      </c>
      <c r="S101" s="39">
        <v>0.0</v>
      </c>
      <c r="T101" s="39">
        <v>0.0</v>
      </c>
      <c r="U101" s="39">
        <v>0.0</v>
      </c>
      <c r="V101" s="39">
        <v>0.0</v>
      </c>
      <c r="W101" s="39">
        <v>0.0</v>
      </c>
      <c r="X101" s="39">
        <v>0.0</v>
      </c>
      <c r="Y101" s="39">
        <v>0.0</v>
      </c>
      <c r="AC101" s="39">
        <v>200.0</v>
      </c>
      <c r="AE101" s="39">
        <v>1.0</v>
      </c>
    </row>
    <row r="102">
      <c r="A102" s="2" t="s">
        <v>612</v>
      </c>
      <c r="B102" s="39" t="s">
        <v>129</v>
      </c>
      <c r="C102" s="39" t="s">
        <v>130</v>
      </c>
      <c r="D102" s="29" t="s">
        <v>63</v>
      </c>
      <c r="E102" s="39" t="s">
        <v>7</v>
      </c>
      <c r="F102" s="39" t="s">
        <v>397</v>
      </c>
      <c r="G102" s="2" t="s">
        <v>613</v>
      </c>
      <c r="H102" s="2" t="s">
        <v>613</v>
      </c>
      <c r="I102" s="40">
        <v>7.964</v>
      </c>
      <c r="J102" s="22">
        <v>19.011</v>
      </c>
      <c r="K102" s="22">
        <v>72.83896</v>
      </c>
      <c r="L102" s="2" t="s">
        <v>66</v>
      </c>
      <c r="N102" s="39" t="s">
        <v>81</v>
      </c>
      <c r="O102" s="30" t="s">
        <v>68</v>
      </c>
      <c r="Q102" s="39">
        <v>1.0</v>
      </c>
      <c r="R102" s="39">
        <v>0.0</v>
      </c>
      <c r="S102" s="39">
        <v>0.0</v>
      </c>
      <c r="T102" s="39">
        <v>0.0</v>
      </c>
      <c r="U102" s="39">
        <v>1.0</v>
      </c>
      <c r="V102" s="39">
        <v>0.0</v>
      </c>
      <c r="W102" s="39">
        <v>0.0</v>
      </c>
      <c r="X102" s="39">
        <v>0.0</v>
      </c>
      <c r="Y102" s="39">
        <v>0.0</v>
      </c>
      <c r="AC102" s="39">
        <v>200.0</v>
      </c>
      <c r="AE102" s="39">
        <v>1.0</v>
      </c>
    </row>
    <row r="103">
      <c r="A103" s="2" t="s">
        <v>614</v>
      </c>
      <c r="B103" s="39" t="s">
        <v>129</v>
      </c>
      <c r="C103" s="39" t="s">
        <v>130</v>
      </c>
      <c r="D103" s="29" t="s">
        <v>63</v>
      </c>
      <c r="E103" s="39" t="s">
        <v>7</v>
      </c>
      <c r="F103" s="39" t="s">
        <v>397</v>
      </c>
      <c r="G103" s="2" t="s">
        <v>615</v>
      </c>
      <c r="H103" s="2" t="s">
        <v>615</v>
      </c>
      <c r="I103" s="40">
        <v>7.564</v>
      </c>
      <c r="J103" s="22">
        <v>19.00793</v>
      </c>
      <c r="K103" s="22">
        <v>72.83697</v>
      </c>
      <c r="L103" s="2" t="s">
        <v>66</v>
      </c>
      <c r="N103" s="2" t="s">
        <v>67</v>
      </c>
      <c r="O103" s="30" t="s">
        <v>68</v>
      </c>
      <c r="Q103" s="39">
        <v>0.0</v>
      </c>
      <c r="R103" s="39">
        <v>0.0</v>
      </c>
      <c r="S103" s="39">
        <v>1.0</v>
      </c>
      <c r="T103" s="39">
        <v>0.0</v>
      </c>
      <c r="U103" s="39">
        <v>0.0</v>
      </c>
      <c r="V103" s="39">
        <v>0.0</v>
      </c>
      <c r="W103" s="39">
        <v>1.0</v>
      </c>
      <c r="X103" s="39">
        <v>0.0</v>
      </c>
      <c r="Y103" s="39">
        <v>0.0</v>
      </c>
      <c r="AC103" s="39">
        <v>250.0</v>
      </c>
      <c r="AE103" s="39">
        <v>1.0</v>
      </c>
    </row>
    <row r="104">
      <c r="A104" s="2" t="s">
        <v>616</v>
      </c>
      <c r="B104" s="39" t="s">
        <v>129</v>
      </c>
      <c r="C104" s="39" t="s">
        <v>130</v>
      </c>
      <c r="D104" s="29" t="s">
        <v>63</v>
      </c>
      <c r="E104" s="39" t="s">
        <v>7</v>
      </c>
      <c r="F104" s="39" t="s">
        <v>397</v>
      </c>
      <c r="G104" s="2" t="s">
        <v>617</v>
      </c>
      <c r="H104" s="2" t="s">
        <v>617</v>
      </c>
      <c r="I104" s="40">
        <v>7.174</v>
      </c>
      <c r="J104" s="22">
        <v>19.00237</v>
      </c>
      <c r="K104" s="22">
        <v>72.83417</v>
      </c>
      <c r="L104" s="2" t="s">
        <v>66</v>
      </c>
      <c r="N104" s="2" t="s">
        <v>67</v>
      </c>
      <c r="O104" s="30" t="s">
        <v>67</v>
      </c>
      <c r="Q104" s="39">
        <v>0.0</v>
      </c>
      <c r="R104" s="39">
        <v>0.0</v>
      </c>
      <c r="S104" s="39">
        <v>1.0</v>
      </c>
      <c r="T104" s="39">
        <v>0.0</v>
      </c>
      <c r="U104" s="39">
        <v>0.0</v>
      </c>
      <c r="V104" s="39">
        <v>0.0</v>
      </c>
      <c r="W104" s="39">
        <v>0.0</v>
      </c>
      <c r="X104" s="39">
        <v>0.0</v>
      </c>
      <c r="Y104" s="39">
        <v>0.0</v>
      </c>
      <c r="AC104" s="39">
        <v>200.0</v>
      </c>
      <c r="AE104" s="39">
        <v>1.0</v>
      </c>
    </row>
    <row r="105">
      <c r="A105" s="2" t="s">
        <v>618</v>
      </c>
      <c r="B105" s="39" t="s">
        <v>129</v>
      </c>
      <c r="C105" s="39" t="s">
        <v>130</v>
      </c>
      <c r="D105" s="29" t="s">
        <v>63</v>
      </c>
      <c r="E105" s="39" t="s">
        <v>7</v>
      </c>
      <c r="F105" s="39" t="s">
        <v>397</v>
      </c>
      <c r="G105" s="2" t="s">
        <v>619</v>
      </c>
      <c r="H105" s="2" t="s">
        <v>619</v>
      </c>
      <c r="I105" s="40">
        <v>6.573</v>
      </c>
      <c r="J105" s="22">
        <v>18.99617</v>
      </c>
      <c r="K105" s="22">
        <v>72.83305</v>
      </c>
      <c r="L105" s="2" t="s">
        <v>66</v>
      </c>
      <c r="N105" s="39" t="s">
        <v>119</v>
      </c>
      <c r="O105" s="30" t="s">
        <v>67</v>
      </c>
      <c r="Q105" s="39">
        <v>0.0</v>
      </c>
      <c r="R105" s="39">
        <v>1.0</v>
      </c>
      <c r="S105" s="39">
        <v>0.0</v>
      </c>
      <c r="T105" s="39">
        <v>0.0</v>
      </c>
      <c r="U105" s="39">
        <v>0.0</v>
      </c>
      <c r="V105" s="39">
        <v>0.0</v>
      </c>
      <c r="W105" s="39">
        <v>1.0</v>
      </c>
      <c r="X105" s="39">
        <v>0.0</v>
      </c>
      <c r="Y105" s="39">
        <v>0.0</v>
      </c>
      <c r="AC105" s="39">
        <v>200.0</v>
      </c>
      <c r="AE105" s="39">
        <v>1.0</v>
      </c>
    </row>
    <row r="106">
      <c r="A106" s="2" t="s">
        <v>620</v>
      </c>
      <c r="B106" s="39" t="s">
        <v>104</v>
      </c>
      <c r="C106" s="39" t="s">
        <v>105</v>
      </c>
      <c r="D106" s="29" t="s">
        <v>63</v>
      </c>
      <c r="E106" s="39" t="s">
        <v>7</v>
      </c>
      <c r="F106" s="39" t="s">
        <v>397</v>
      </c>
      <c r="G106" s="2" t="s">
        <v>621</v>
      </c>
      <c r="H106" s="2" t="s">
        <v>621</v>
      </c>
      <c r="I106" s="40">
        <v>5.912</v>
      </c>
      <c r="J106" s="22">
        <v>18.98994</v>
      </c>
      <c r="K106" s="22">
        <v>72.833</v>
      </c>
      <c r="L106" s="2" t="s">
        <v>66</v>
      </c>
      <c r="N106" s="39" t="s">
        <v>81</v>
      </c>
      <c r="O106" s="30" t="s">
        <v>68</v>
      </c>
      <c r="Q106" s="39">
        <v>1.0</v>
      </c>
      <c r="R106" s="39">
        <v>0.0</v>
      </c>
      <c r="S106" s="39">
        <v>0.0</v>
      </c>
      <c r="T106" s="39">
        <v>0.0</v>
      </c>
      <c r="U106" s="39">
        <v>0.0</v>
      </c>
      <c r="V106" s="39">
        <v>1.0</v>
      </c>
      <c r="W106" s="39">
        <v>0.0</v>
      </c>
      <c r="X106" s="39">
        <v>1.0</v>
      </c>
      <c r="Y106" s="39">
        <v>0.0</v>
      </c>
      <c r="Z106" s="39" t="s">
        <v>622</v>
      </c>
      <c r="AA106" s="30" t="s">
        <v>115</v>
      </c>
      <c r="AC106" s="39">
        <v>250.0</v>
      </c>
      <c r="AE106" s="39">
        <v>1.0</v>
      </c>
    </row>
    <row r="107">
      <c r="A107" s="2" t="s">
        <v>623</v>
      </c>
      <c r="B107" s="39" t="s">
        <v>104</v>
      </c>
      <c r="C107" s="39" t="s">
        <v>105</v>
      </c>
      <c r="D107" s="29" t="s">
        <v>63</v>
      </c>
      <c r="E107" s="39" t="s">
        <v>7</v>
      </c>
      <c r="F107" s="39" t="s">
        <v>397</v>
      </c>
      <c r="G107" s="2" t="s">
        <v>624</v>
      </c>
      <c r="H107" s="2" t="s">
        <v>624</v>
      </c>
      <c r="I107" s="40">
        <v>5.522</v>
      </c>
      <c r="J107" s="22">
        <v>18.98543</v>
      </c>
      <c r="K107" s="22">
        <v>72.83298</v>
      </c>
      <c r="L107" s="2" t="s">
        <v>66</v>
      </c>
      <c r="N107" s="2" t="s">
        <v>67</v>
      </c>
      <c r="O107" s="30" t="s">
        <v>68</v>
      </c>
      <c r="Q107" s="39">
        <v>0.0</v>
      </c>
      <c r="R107" s="39">
        <v>0.0</v>
      </c>
      <c r="S107" s="39">
        <v>1.0</v>
      </c>
      <c r="T107" s="39">
        <v>0.0</v>
      </c>
      <c r="U107" s="39">
        <v>0.0</v>
      </c>
      <c r="V107" s="39">
        <v>0.0</v>
      </c>
      <c r="W107" s="39">
        <v>0.0</v>
      </c>
      <c r="X107" s="39">
        <v>0.0</v>
      </c>
      <c r="Y107" s="39">
        <v>0.0</v>
      </c>
      <c r="AC107" s="39">
        <v>200.0</v>
      </c>
      <c r="AE107" s="39">
        <v>1.0</v>
      </c>
    </row>
    <row r="108">
      <c r="A108" s="2" t="s">
        <v>625</v>
      </c>
      <c r="B108" s="39" t="s">
        <v>104</v>
      </c>
      <c r="C108" s="39" t="s">
        <v>105</v>
      </c>
      <c r="D108" s="29" t="s">
        <v>63</v>
      </c>
      <c r="E108" s="39" t="s">
        <v>7</v>
      </c>
      <c r="F108" s="39" t="s">
        <v>397</v>
      </c>
      <c r="G108" s="2" t="s">
        <v>626</v>
      </c>
      <c r="H108" s="2" t="s">
        <v>626</v>
      </c>
      <c r="I108" s="40">
        <v>5.18</v>
      </c>
      <c r="J108" s="22">
        <v>18.98231</v>
      </c>
      <c r="K108" s="22">
        <v>72.83295</v>
      </c>
      <c r="L108" s="2" t="s">
        <v>66</v>
      </c>
      <c r="N108" s="2" t="s">
        <v>67</v>
      </c>
      <c r="O108" s="30" t="s">
        <v>68</v>
      </c>
      <c r="Q108" s="39">
        <v>0.0</v>
      </c>
      <c r="R108" s="39">
        <v>0.0</v>
      </c>
      <c r="S108" s="39">
        <v>1.0</v>
      </c>
      <c r="T108" s="39">
        <v>0.0</v>
      </c>
      <c r="U108" s="39">
        <v>0.0</v>
      </c>
      <c r="V108" s="39">
        <v>1.0</v>
      </c>
      <c r="W108" s="39">
        <v>0.0</v>
      </c>
      <c r="X108" s="39">
        <v>0.0</v>
      </c>
      <c r="Y108" s="39">
        <v>1.0</v>
      </c>
      <c r="Z108" s="39" t="s">
        <v>627</v>
      </c>
      <c r="AA108" s="30" t="s">
        <v>97</v>
      </c>
      <c r="AC108" s="39">
        <v>200.0</v>
      </c>
      <c r="AE108" s="39">
        <v>1.0</v>
      </c>
    </row>
    <row r="109">
      <c r="A109" s="2" t="s">
        <v>628</v>
      </c>
      <c r="B109" s="39" t="s">
        <v>104</v>
      </c>
      <c r="C109" s="39" t="s">
        <v>105</v>
      </c>
      <c r="D109" s="29" t="s">
        <v>63</v>
      </c>
      <c r="E109" s="39" t="s">
        <v>7</v>
      </c>
      <c r="F109" s="39" t="s">
        <v>397</v>
      </c>
      <c r="G109" s="2" t="s">
        <v>629</v>
      </c>
      <c r="H109" s="2" t="s">
        <v>629</v>
      </c>
      <c r="I109" s="40">
        <v>4.67</v>
      </c>
      <c r="J109" s="22">
        <v>18.97903</v>
      </c>
      <c r="K109" s="22">
        <v>72.83293</v>
      </c>
      <c r="L109" s="2" t="s">
        <v>66</v>
      </c>
      <c r="N109" s="2" t="s">
        <v>67</v>
      </c>
      <c r="O109" s="30" t="s">
        <v>68</v>
      </c>
      <c r="Q109" s="39">
        <v>0.0</v>
      </c>
      <c r="R109" s="39">
        <v>0.0</v>
      </c>
      <c r="S109" s="39">
        <v>1.0</v>
      </c>
      <c r="T109" s="39">
        <v>0.0</v>
      </c>
      <c r="U109" s="39">
        <v>1.0</v>
      </c>
      <c r="V109" s="39">
        <v>0.0</v>
      </c>
      <c r="W109" s="39">
        <v>1.0</v>
      </c>
      <c r="X109" s="39">
        <v>0.0</v>
      </c>
      <c r="Y109" s="39">
        <v>0.0</v>
      </c>
      <c r="AC109" s="39">
        <v>200.0</v>
      </c>
      <c r="AE109" s="39">
        <v>1.0</v>
      </c>
    </row>
    <row r="110">
      <c r="A110" s="2" t="s">
        <v>630</v>
      </c>
      <c r="B110" s="39" t="s">
        <v>104</v>
      </c>
      <c r="C110" s="39" t="s">
        <v>105</v>
      </c>
      <c r="D110" s="29" t="s">
        <v>63</v>
      </c>
      <c r="E110" s="39" t="s">
        <v>7</v>
      </c>
      <c r="F110" s="39" t="s">
        <v>397</v>
      </c>
      <c r="G110" s="30" t="s">
        <v>72</v>
      </c>
      <c r="H110" s="39" t="s">
        <v>631</v>
      </c>
      <c r="I110" s="40">
        <v>4.189</v>
      </c>
      <c r="J110" s="22">
        <v>18.97479</v>
      </c>
      <c r="K110" s="22">
        <v>72.83292</v>
      </c>
      <c r="L110" s="2" t="s">
        <v>66</v>
      </c>
      <c r="N110" s="2" t="s">
        <v>67</v>
      </c>
      <c r="O110" s="30" t="s">
        <v>68</v>
      </c>
      <c r="Q110" s="39">
        <v>0.0</v>
      </c>
      <c r="R110" s="39">
        <v>0.0</v>
      </c>
      <c r="S110" s="39">
        <v>1.0</v>
      </c>
      <c r="T110" s="39">
        <v>0.0</v>
      </c>
      <c r="U110" s="39">
        <v>0.0</v>
      </c>
      <c r="V110" s="39">
        <v>1.0</v>
      </c>
      <c r="W110" s="39">
        <v>1.0</v>
      </c>
      <c r="X110" s="39">
        <v>1.0</v>
      </c>
      <c r="Y110" s="39">
        <v>0.0</v>
      </c>
      <c r="Z110" s="39" t="s">
        <v>632</v>
      </c>
      <c r="AA110" s="30" t="s">
        <v>115</v>
      </c>
      <c r="AC110" s="39">
        <v>300.0</v>
      </c>
      <c r="AE110" s="39">
        <v>1.0</v>
      </c>
    </row>
    <row r="111">
      <c r="A111" s="2" t="s">
        <v>633</v>
      </c>
      <c r="D111" s="29" t="s">
        <v>63</v>
      </c>
      <c r="E111" s="39" t="s">
        <v>7</v>
      </c>
      <c r="F111" s="39" t="s">
        <v>397</v>
      </c>
      <c r="G111" s="2" t="s">
        <v>634</v>
      </c>
      <c r="H111" s="2" t="s">
        <v>634</v>
      </c>
      <c r="I111" s="40">
        <v>3.79</v>
      </c>
      <c r="J111" s="22">
        <v>18.96836</v>
      </c>
      <c r="K111" s="22">
        <v>72.83455</v>
      </c>
      <c r="L111" s="2" t="s">
        <v>102</v>
      </c>
      <c r="N111" s="39" t="s">
        <v>81</v>
      </c>
      <c r="O111" s="30" t="s">
        <v>67</v>
      </c>
      <c r="Q111" s="39">
        <v>1.0</v>
      </c>
      <c r="R111" s="39">
        <v>0.0</v>
      </c>
      <c r="S111" s="39">
        <v>0.0</v>
      </c>
      <c r="T111" s="39">
        <v>0.0</v>
      </c>
      <c r="U111" s="39">
        <v>1.0</v>
      </c>
      <c r="V111" s="39">
        <v>0.0</v>
      </c>
      <c r="W111" s="39">
        <v>0.0</v>
      </c>
      <c r="X111" s="39">
        <v>0.0</v>
      </c>
      <c r="Y111" s="39">
        <v>0.0</v>
      </c>
      <c r="AC111" s="39">
        <v>200.0</v>
      </c>
      <c r="AE111" s="39">
        <v>1.0</v>
      </c>
    </row>
    <row r="112">
      <c r="A112" s="30" t="s">
        <v>635</v>
      </c>
      <c r="D112" s="29" t="s">
        <v>63</v>
      </c>
      <c r="E112" s="39" t="s">
        <v>7</v>
      </c>
      <c r="F112" s="39" t="s">
        <v>397</v>
      </c>
      <c r="G112" s="2" t="s">
        <v>636</v>
      </c>
      <c r="H112" s="2" t="s">
        <v>636</v>
      </c>
      <c r="I112" s="40">
        <v>3.319</v>
      </c>
      <c r="J112" s="22">
        <v>18.96596</v>
      </c>
      <c r="K112" s="22">
        <v>72.83695</v>
      </c>
      <c r="L112" s="2" t="s">
        <v>102</v>
      </c>
      <c r="N112" s="39" t="s">
        <v>81</v>
      </c>
      <c r="O112" s="30" t="s">
        <v>67</v>
      </c>
      <c r="Q112" s="39">
        <v>1.0</v>
      </c>
      <c r="R112" s="39">
        <v>0.0</v>
      </c>
      <c r="S112" s="39">
        <v>0.0</v>
      </c>
      <c r="T112" s="39">
        <v>0.0</v>
      </c>
      <c r="U112" s="39">
        <v>1.0</v>
      </c>
      <c r="V112" s="39">
        <v>0.0</v>
      </c>
      <c r="W112" s="39">
        <v>0.0</v>
      </c>
      <c r="X112" s="39">
        <v>0.0</v>
      </c>
      <c r="Y112" s="39">
        <v>0.0</v>
      </c>
      <c r="AC112" s="39">
        <v>200.0</v>
      </c>
      <c r="AE112" s="39">
        <v>1.0</v>
      </c>
    </row>
    <row r="113">
      <c r="A113" s="2" t="s">
        <v>637</v>
      </c>
      <c r="D113" s="29" t="s">
        <v>63</v>
      </c>
      <c r="E113" s="39" t="s">
        <v>7</v>
      </c>
      <c r="F113" s="39" t="s">
        <v>397</v>
      </c>
      <c r="G113" s="2" t="s">
        <v>638</v>
      </c>
      <c r="H113" s="2" t="s">
        <v>638</v>
      </c>
      <c r="I113" s="40">
        <v>2.865</v>
      </c>
      <c r="J113" s="22">
        <v>18.96301</v>
      </c>
      <c r="K113" s="22">
        <v>72.83931</v>
      </c>
      <c r="L113" s="2" t="s">
        <v>66</v>
      </c>
      <c r="N113" s="2" t="s">
        <v>67</v>
      </c>
      <c r="O113" s="30" t="s">
        <v>81</v>
      </c>
      <c r="Q113" s="39">
        <v>0.0</v>
      </c>
      <c r="R113" s="39">
        <v>0.0</v>
      </c>
      <c r="S113" s="39">
        <v>1.0</v>
      </c>
      <c r="T113" s="39">
        <v>0.0</v>
      </c>
      <c r="U113" s="39">
        <v>0.0</v>
      </c>
      <c r="V113" s="39">
        <v>0.0</v>
      </c>
      <c r="W113" s="39">
        <v>0.0</v>
      </c>
      <c r="X113" s="39">
        <v>0.0</v>
      </c>
      <c r="Y113" s="39">
        <v>0.0</v>
      </c>
      <c r="AC113" s="39">
        <v>200.0</v>
      </c>
      <c r="AE113" s="39">
        <v>1.0</v>
      </c>
    </row>
    <row r="114">
      <c r="A114" s="2" t="s">
        <v>639</v>
      </c>
      <c r="D114" s="29" t="s">
        <v>63</v>
      </c>
      <c r="E114" s="39" t="s">
        <v>7</v>
      </c>
      <c r="F114" s="39" t="s">
        <v>397</v>
      </c>
      <c r="G114" s="2" t="s">
        <v>640</v>
      </c>
      <c r="H114" s="2" t="s">
        <v>640</v>
      </c>
      <c r="I114" s="40">
        <v>2.446</v>
      </c>
      <c r="J114" s="22">
        <v>18.95827</v>
      </c>
      <c r="K114" s="22">
        <v>72.83901</v>
      </c>
      <c r="L114" s="2" t="s">
        <v>102</v>
      </c>
      <c r="N114" s="2" t="s">
        <v>67</v>
      </c>
      <c r="O114" s="30" t="s">
        <v>81</v>
      </c>
      <c r="Q114" s="39">
        <v>0.0</v>
      </c>
      <c r="R114" s="39">
        <v>0.0</v>
      </c>
      <c r="S114" s="39">
        <v>1.0</v>
      </c>
      <c r="T114" s="39">
        <v>0.0</v>
      </c>
      <c r="U114" s="39">
        <v>0.0</v>
      </c>
      <c r="V114" s="39">
        <v>0.0</v>
      </c>
      <c r="W114" s="39">
        <v>0.0</v>
      </c>
      <c r="X114" s="39">
        <v>0.0</v>
      </c>
      <c r="Y114" s="39">
        <v>0.0</v>
      </c>
      <c r="AC114" s="39">
        <v>200.0</v>
      </c>
      <c r="AE114" s="39">
        <v>1.0</v>
      </c>
    </row>
    <row r="115">
      <c r="A115" s="2" t="s">
        <v>641</v>
      </c>
      <c r="B115" s="39" t="s">
        <v>62</v>
      </c>
      <c r="C115" s="39" t="s">
        <v>62</v>
      </c>
      <c r="D115" s="29" t="s">
        <v>63</v>
      </c>
      <c r="E115" s="39" t="s">
        <v>7</v>
      </c>
      <c r="F115" s="39" t="s">
        <v>397</v>
      </c>
      <c r="G115" s="2" t="s">
        <v>642</v>
      </c>
      <c r="H115" s="2" t="s">
        <v>642</v>
      </c>
      <c r="I115" s="40">
        <v>1.965</v>
      </c>
      <c r="J115" s="22">
        <v>18.95352</v>
      </c>
      <c r="K115" s="22">
        <v>72.8384</v>
      </c>
      <c r="L115" s="2" t="s">
        <v>66</v>
      </c>
      <c r="N115" s="2" t="s">
        <v>67</v>
      </c>
      <c r="O115" s="30" t="s">
        <v>67</v>
      </c>
      <c r="Q115" s="39">
        <v>0.0</v>
      </c>
      <c r="R115" s="39">
        <v>0.0</v>
      </c>
      <c r="S115" s="39">
        <v>1.0</v>
      </c>
      <c r="T115" s="39">
        <v>0.0</v>
      </c>
      <c r="U115" s="39">
        <v>0.0</v>
      </c>
      <c r="V115" s="39">
        <v>1.0</v>
      </c>
      <c r="W115" s="39">
        <v>0.0</v>
      </c>
      <c r="X115" s="39">
        <v>3.0</v>
      </c>
      <c r="Y115" s="39">
        <v>0.0</v>
      </c>
      <c r="Z115" s="39" t="s">
        <v>643</v>
      </c>
      <c r="AA115" s="30" t="s">
        <v>83</v>
      </c>
      <c r="AC115" s="39">
        <v>200.0</v>
      </c>
      <c r="AE115" s="39">
        <v>1.0</v>
      </c>
    </row>
    <row r="116">
      <c r="A116" s="2" t="s">
        <v>644</v>
      </c>
      <c r="B116" s="39" t="s">
        <v>62</v>
      </c>
      <c r="C116" s="39" t="s">
        <v>62</v>
      </c>
      <c r="D116" s="29" t="s">
        <v>63</v>
      </c>
      <c r="E116" s="39" t="s">
        <v>7</v>
      </c>
      <c r="F116" s="39" t="s">
        <v>397</v>
      </c>
      <c r="G116" s="22">
        <v>697.0</v>
      </c>
      <c r="H116" s="39" t="s">
        <v>645</v>
      </c>
      <c r="I116" s="40">
        <v>1.167</v>
      </c>
      <c r="L116" s="2" t="s">
        <v>66</v>
      </c>
      <c r="N116" s="2" t="s">
        <v>67</v>
      </c>
      <c r="O116" s="30" t="s">
        <v>81</v>
      </c>
      <c r="Q116" s="39">
        <v>0.0</v>
      </c>
      <c r="R116" s="39">
        <v>0.0</v>
      </c>
      <c r="S116" s="39">
        <v>1.0</v>
      </c>
      <c r="T116" s="39">
        <v>0.0</v>
      </c>
      <c r="U116" s="39">
        <v>0.0</v>
      </c>
      <c r="V116" s="39">
        <v>0.0</v>
      </c>
      <c r="W116" s="39">
        <v>0.0</v>
      </c>
      <c r="X116" s="39">
        <v>3.0</v>
      </c>
      <c r="Y116" s="39">
        <v>0.0</v>
      </c>
      <c r="Z116" s="39" t="s">
        <v>646</v>
      </c>
      <c r="AA116" s="30" t="s">
        <v>83</v>
      </c>
      <c r="AC116" s="39">
        <v>200.0</v>
      </c>
      <c r="AE116" s="39">
        <v>1.0</v>
      </c>
    </row>
    <row r="117">
      <c r="A117" s="2" t="s">
        <v>647</v>
      </c>
      <c r="B117" s="39" t="s">
        <v>62</v>
      </c>
      <c r="C117" s="39" t="s">
        <v>62</v>
      </c>
      <c r="D117" s="29" t="s">
        <v>63</v>
      </c>
      <c r="E117" s="39" t="s">
        <v>7</v>
      </c>
      <c r="F117" s="39" t="s">
        <v>397</v>
      </c>
      <c r="G117" s="22">
        <v>675.0</v>
      </c>
      <c r="H117" s="39" t="s">
        <v>648</v>
      </c>
      <c r="I117" s="40">
        <v>0.583</v>
      </c>
      <c r="L117" s="2" t="s">
        <v>66</v>
      </c>
      <c r="N117" s="2" t="s">
        <v>67</v>
      </c>
      <c r="O117" s="30" t="s">
        <v>81</v>
      </c>
      <c r="Q117" s="39">
        <v>0.0</v>
      </c>
      <c r="R117" s="39">
        <v>0.0</v>
      </c>
      <c r="S117" s="39">
        <v>1.0</v>
      </c>
      <c r="T117" s="39">
        <v>0.0</v>
      </c>
      <c r="U117" s="39">
        <v>0.0</v>
      </c>
      <c r="V117" s="39">
        <v>0.0</v>
      </c>
      <c r="W117" s="39">
        <v>0.0</v>
      </c>
      <c r="X117" s="39">
        <v>3.0</v>
      </c>
      <c r="Y117" s="39">
        <v>2.0</v>
      </c>
      <c r="Z117" s="39" t="s">
        <v>649</v>
      </c>
      <c r="AA117" s="30" t="s">
        <v>650</v>
      </c>
      <c r="AC117" s="39">
        <v>200.0</v>
      </c>
      <c r="AE117" s="39">
        <v>1.0</v>
      </c>
    </row>
    <row r="118">
      <c r="A118" s="2" t="s">
        <v>651</v>
      </c>
      <c r="B118" s="39" t="s">
        <v>62</v>
      </c>
      <c r="C118" s="39" t="s">
        <v>62</v>
      </c>
      <c r="D118" s="29" t="s">
        <v>63</v>
      </c>
      <c r="E118" s="39" t="s">
        <v>7</v>
      </c>
      <c r="F118" s="39" t="s">
        <v>397</v>
      </c>
      <c r="G118" s="2"/>
      <c r="I118" s="40">
        <v>0.341</v>
      </c>
      <c r="L118" s="2" t="s">
        <v>66</v>
      </c>
      <c r="N118" s="2" t="s">
        <v>67</v>
      </c>
      <c r="O118" s="30" t="s">
        <v>68</v>
      </c>
      <c r="Q118" s="39">
        <v>0.0</v>
      </c>
      <c r="R118" s="39">
        <v>0.0</v>
      </c>
      <c r="S118" s="39">
        <v>1.0</v>
      </c>
      <c r="T118" s="39">
        <v>0.0</v>
      </c>
      <c r="U118" s="39">
        <v>0.0</v>
      </c>
      <c r="V118" s="39">
        <v>0.0</v>
      </c>
      <c r="W118" s="39">
        <v>0.0</v>
      </c>
      <c r="X118" s="39">
        <v>0.0</v>
      </c>
      <c r="Y118" s="39">
        <v>0.0</v>
      </c>
      <c r="AC118" s="39">
        <v>200.0</v>
      </c>
      <c r="AE118" s="39">
        <v>1.0</v>
      </c>
    </row>
    <row r="119">
      <c r="A119" s="2" t="s">
        <v>652</v>
      </c>
      <c r="B119" s="39" t="s">
        <v>62</v>
      </c>
      <c r="C119" s="39" t="s">
        <v>62</v>
      </c>
      <c r="D119" s="29" t="s">
        <v>63</v>
      </c>
      <c r="E119" s="39" t="s">
        <v>7</v>
      </c>
      <c r="F119" s="39" t="s">
        <v>397</v>
      </c>
      <c r="G119" s="22">
        <v>535.0</v>
      </c>
      <c r="L119" s="2" t="s">
        <v>66</v>
      </c>
      <c r="N119" s="2" t="s">
        <v>67</v>
      </c>
      <c r="O119" s="30" t="s">
        <v>67</v>
      </c>
      <c r="Q119" s="39">
        <v>0.0</v>
      </c>
      <c r="R119" s="39">
        <v>0.0</v>
      </c>
      <c r="S119" s="39">
        <v>1.0</v>
      </c>
      <c r="T119" s="39">
        <v>0.0</v>
      </c>
      <c r="U119" s="39">
        <v>0.0</v>
      </c>
      <c r="V119" s="39">
        <v>0.0</v>
      </c>
      <c r="W119" s="39">
        <v>0.0</v>
      </c>
      <c r="X119" s="39">
        <v>1.0</v>
      </c>
      <c r="Y119" s="39">
        <v>0.0</v>
      </c>
      <c r="Z119" s="39" t="s">
        <v>653</v>
      </c>
      <c r="AA119" s="30" t="s">
        <v>115</v>
      </c>
      <c r="AC119" s="39">
        <v>200.0</v>
      </c>
      <c r="AE119" s="39">
        <v>1.0</v>
      </c>
    </row>
    <row r="120">
      <c r="A120" s="2" t="s">
        <v>654</v>
      </c>
      <c r="B120" s="39" t="s">
        <v>62</v>
      </c>
      <c r="C120" s="39" t="s">
        <v>62</v>
      </c>
      <c r="D120" s="29" t="s">
        <v>63</v>
      </c>
      <c r="E120" s="39" t="s">
        <v>7</v>
      </c>
      <c r="F120" s="39" t="s">
        <v>397</v>
      </c>
      <c r="L120" s="2" t="s">
        <v>66</v>
      </c>
      <c r="N120" s="2" t="s">
        <v>67</v>
      </c>
      <c r="O120" s="30" t="s">
        <v>67</v>
      </c>
      <c r="Q120" s="39">
        <v>0.0</v>
      </c>
      <c r="R120" s="39">
        <v>0.0</v>
      </c>
      <c r="S120" s="39">
        <v>1.0</v>
      </c>
      <c r="T120" s="39">
        <v>0.0</v>
      </c>
      <c r="U120" s="39">
        <v>0.0</v>
      </c>
      <c r="V120" s="39">
        <v>0.0</v>
      </c>
      <c r="W120" s="39">
        <v>0.0</v>
      </c>
      <c r="X120" s="39">
        <v>0.0</v>
      </c>
      <c r="Y120" s="39">
        <v>1.0</v>
      </c>
      <c r="Z120" s="39" t="s">
        <v>655</v>
      </c>
      <c r="AA120" s="30" t="s">
        <v>97</v>
      </c>
      <c r="AC120" s="39">
        <v>200.0</v>
      </c>
      <c r="AE120" s="39">
        <v>1.0</v>
      </c>
    </row>
  </sheetData>
  <autoFilter ref="$O$1:$O$12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656</v>
      </c>
      <c r="B1" s="39" t="s">
        <v>360</v>
      </c>
      <c r="C1" s="39" t="s">
        <v>361</v>
      </c>
      <c r="D1" s="29" t="s">
        <v>499</v>
      </c>
      <c r="E1" s="39" t="s">
        <v>7</v>
      </c>
      <c r="F1" s="39" t="s">
        <v>397</v>
      </c>
      <c r="G1" s="2" t="s">
        <v>657</v>
      </c>
      <c r="L1" s="2" t="s">
        <v>66</v>
      </c>
      <c r="N1" s="2" t="s">
        <v>67</v>
      </c>
      <c r="O1" s="2"/>
      <c r="Q1" s="39">
        <v>0.0</v>
      </c>
      <c r="R1" s="39">
        <v>0.0</v>
      </c>
      <c r="S1" s="39">
        <v>1.0</v>
      </c>
      <c r="T1" s="39">
        <v>0.0</v>
      </c>
      <c r="U1" s="39">
        <v>0.0</v>
      </c>
      <c r="V1" s="39">
        <v>0.0</v>
      </c>
      <c r="W1" s="39">
        <v>0.0</v>
      </c>
      <c r="X1" s="39">
        <v>3.0</v>
      </c>
      <c r="Y1" s="39">
        <v>0.0</v>
      </c>
      <c r="Z1" s="30" t="s">
        <v>658</v>
      </c>
      <c r="AA1" s="30" t="s">
        <v>83</v>
      </c>
      <c r="AC1" s="39">
        <v>200.0</v>
      </c>
      <c r="AE1" s="39">
        <v>1.0</v>
      </c>
    </row>
    <row r="2">
      <c r="A2" s="2" t="s">
        <v>659</v>
      </c>
      <c r="B2" s="39" t="s">
        <v>360</v>
      </c>
      <c r="C2" s="39" t="s">
        <v>361</v>
      </c>
      <c r="D2" s="29" t="s">
        <v>499</v>
      </c>
      <c r="E2" s="39" t="s">
        <v>7</v>
      </c>
      <c r="F2" s="39" t="s">
        <v>397</v>
      </c>
      <c r="G2" s="2" t="s">
        <v>660</v>
      </c>
      <c r="L2" s="2" t="s">
        <v>66</v>
      </c>
      <c r="N2" s="2" t="s">
        <v>67</v>
      </c>
      <c r="O2" s="2"/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0.0</v>
      </c>
      <c r="W2" s="39">
        <v>0.0</v>
      </c>
      <c r="X2" s="39">
        <v>3.0</v>
      </c>
      <c r="Y2" s="39">
        <v>0.0</v>
      </c>
      <c r="Z2" s="30" t="s">
        <v>658</v>
      </c>
      <c r="AA2" s="30" t="s">
        <v>83</v>
      </c>
      <c r="AC2" s="39">
        <v>200.0</v>
      </c>
      <c r="AE2" s="39">
        <v>1.0</v>
      </c>
    </row>
    <row r="3">
      <c r="A3" s="2" t="s">
        <v>661</v>
      </c>
      <c r="B3" s="39" t="s">
        <v>360</v>
      </c>
      <c r="C3" s="39" t="s">
        <v>361</v>
      </c>
      <c r="D3" s="29" t="s">
        <v>499</v>
      </c>
      <c r="E3" s="39" t="s">
        <v>7</v>
      </c>
      <c r="F3" s="39" t="s">
        <v>397</v>
      </c>
      <c r="G3" s="2" t="s">
        <v>662</v>
      </c>
      <c r="L3" s="2" t="s">
        <v>66</v>
      </c>
      <c r="N3" s="2" t="s">
        <v>67</v>
      </c>
      <c r="O3" s="2"/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200.0</v>
      </c>
      <c r="AE3" s="39">
        <v>1.0</v>
      </c>
    </row>
    <row r="4">
      <c r="A4" s="2" t="s">
        <v>663</v>
      </c>
      <c r="B4" s="39" t="s">
        <v>360</v>
      </c>
      <c r="C4" s="39" t="s">
        <v>361</v>
      </c>
      <c r="D4" s="29" t="s">
        <v>499</v>
      </c>
      <c r="E4" s="39" t="s">
        <v>7</v>
      </c>
      <c r="F4" s="39" t="s">
        <v>397</v>
      </c>
      <c r="G4" s="2" t="s">
        <v>65</v>
      </c>
      <c r="L4" s="2" t="s">
        <v>66</v>
      </c>
      <c r="N4" s="39" t="s">
        <v>81</v>
      </c>
      <c r="O4" s="2"/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200.0</v>
      </c>
      <c r="AE4" s="39">
        <v>1.0</v>
      </c>
    </row>
    <row r="5">
      <c r="A5" s="2" t="s">
        <v>664</v>
      </c>
      <c r="B5" s="39" t="s">
        <v>360</v>
      </c>
      <c r="C5" s="39" t="s">
        <v>361</v>
      </c>
      <c r="D5" s="29" t="s">
        <v>499</v>
      </c>
      <c r="E5" s="39" t="s">
        <v>7</v>
      </c>
      <c r="F5" s="39" t="s">
        <v>397</v>
      </c>
      <c r="G5" s="2"/>
      <c r="L5" s="2" t="s">
        <v>66</v>
      </c>
      <c r="N5" s="2" t="s">
        <v>67</v>
      </c>
      <c r="O5" s="2"/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2.0</v>
      </c>
      <c r="Y5" s="39">
        <v>0.0</v>
      </c>
      <c r="Z5" s="30" t="s">
        <v>402</v>
      </c>
      <c r="AA5" s="30" t="s">
        <v>78</v>
      </c>
      <c r="AC5" s="39">
        <v>200.0</v>
      </c>
      <c r="AE5" s="39">
        <v>1.0</v>
      </c>
    </row>
    <row r="8">
      <c r="A8" s="2" t="s">
        <v>665</v>
      </c>
      <c r="B8" s="39" t="s">
        <v>360</v>
      </c>
      <c r="C8" s="39" t="s">
        <v>361</v>
      </c>
      <c r="D8" s="29" t="s">
        <v>499</v>
      </c>
      <c r="E8" s="39" t="s">
        <v>7</v>
      </c>
      <c r="F8" s="39" t="s">
        <v>397</v>
      </c>
      <c r="G8" s="2"/>
      <c r="J8" s="2"/>
      <c r="K8" s="2"/>
      <c r="L8" s="2" t="s">
        <v>66</v>
      </c>
      <c r="N8" s="2" t="s">
        <v>67</v>
      </c>
      <c r="O8" s="2"/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2.0</v>
      </c>
      <c r="Z8" s="39" t="s">
        <v>666</v>
      </c>
      <c r="AA8" s="30" t="s">
        <v>315</v>
      </c>
      <c r="AC8" s="39">
        <v>200.0</v>
      </c>
      <c r="AE8" s="39">
        <v>1.0</v>
      </c>
    </row>
    <row r="10">
      <c r="A10" s="2" t="s">
        <v>498</v>
      </c>
      <c r="B10" s="39" t="s">
        <v>262</v>
      </c>
      <c r="C10" s="39" t="s">
        <v>263</v>
      </c>
      <c r="D10" s="29" t="s">
        <v>499</v>
      </c>
      <c r="E10" s="39" t="s">
        <v>7</v>
      </c>
      <c r="F10" s="39" t="s">
        <v>397</v>
      </c>
      <c r="G10" s="30" t="s">
        <v>667</v>
      </c>
      <c r="I10" s="40">
        <v>33.318</v>
      </c>
      <c r="J10" s="22">
        <v>19.18688</v>
      </c>
      <c r="K10" s="22">
        <v>72.97865</v>
      </c>
      <c r="L10" s="2" t="s">
        <v>66</v>
      </c>
      <c r="N10" s="39" t="s">
        <v>81</v>
      </c>
      <c r="O10" s="2"/>
      <c r="Q10" s="39">
        <v>1.0</v>
      </c>
      <c r="R10" s="39">
        <v>0.0</v>
      </c>
      <c r="S10" s="39">
        <v>0.0</v>
      </c>
      <c r="T10" s="39">
        <v>0.0</v>
      </c>
      <c r="U10" s="39">
        <v>1.0</v>
      </c>
      <c r="V10" s="39">
        <v>0.0</v>
      </c>
      <c r="W10" s="39">
        <v>0.0</v>
      </c>
      <c r="X10" s="39">
        <v>0.0</v>
      </c>
      <c r="Y10" s="39">
        <v>0.0</v>
      </c>
      <c r="AC10" s="39">
        <v>200.0</v>
      </c>
      <c r="AE10" s="39">
        <v>1.0</v>
      </c>
    </row>
    <row r="12">
      <c r="A12" s="2" t="s">
        <v>668</v>
      </c>
      <c r="B12" s="39" t="s">
        <v>262</v>
      </c>
      <c r="C12" s="39" t="s">
        <v>263</v>
      </c>
      <c r="D12" s="29" t="s">
        <v>63</v>
      </c>
      <c r="E12" s="39" t="s">
        <v>7</v>
      </c>
      <c r="F12" s="39" t="s">
        <v>397</v>
      </c>
      <c r="G12" s="2" t="s">
        <v>669</v>
      </c>
      <c r="J12" s="22">
        <v>19.18468</v>
      </c>
      <c r="K12" s="22">
        <v>72.97168</v>
      </c>
      <c r="L12" s="2" t="s">
        <v>66</v>
      </c>
      <c r="N12" s="2" t="s">
        <v>67</v>
      </c>
      <c r="O12" s="2"/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200.0</v>
      </c>
      <c r="AE12" s="39">
        <v>1.0</v>
      </c>
    </row>
    <row r="15">
      <c r="A15" s="39" t="s">
        <v>499</v>
      </c>
      <c r="B15" s="39" t="s">
        <v>7</v>
      </c>
      <c r="C15" s="39" t="s">
        <v>397</v>
      </c>
      <c r="D15" s="41" t="s">
        <v>670</v>
      </c>
      <c r="E15" s="41" t="s">
        <v>671</v>
      </c>
      <c r="H15" s="39">
        <v>40.0</v>
      </c>
    </row>
    <row r="16">
      <c r="A16" s="39" t="s">
        <v>499</v>
      </c>
      <c r="B16" s="39" t="s">
        <v>7</v>
      </c>
      <c r="C16" s="39" t="s">
        <v>397</v>
      </c>
      <c r="D16" s="39" t="s">
        <v>671</v>
      </c>
      <c r="E16" s="39" t="s">
        <v>672</v>
      </c>
      <c r="H16" s="39">
        <v>30.0</v>
      </c>
    </row>
    <row r="18">
      <c r="A18" s="39" t="s">
        <v>673</v>
      </c>
      <c r="B18" s="39" t="s">
        <v>10</v>
      </c>
      <c r="C18" s="39" t="s">
        <v>64</v>
      </c>
      <c r="D18" s="42">
        <v>46054.0</v>
      </c>
      <c r="E18" s="43" t="s">
        <v>674</v>
      </c>
      <c r="H18" s="44">
        <v>60.0</v>
      </c>
      <c r="I18" s="45">
        <v>18.95231</v>
      </c>
      <c r="J18" s="45">
        <v>72.83809</v>
      </c>
      <c r="K18" s="45">
        <v>18.95777</v>
      </c>
      <c r="L18" s="45">
        <v>72.83861</v>
      </c>
      <c r="M18" s="39" t="s">
        <v>675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20" t="s">
        <v>676</v>
      </c>
      <c r="B2" s="39" t="s">
        <v>62</v>
      </c>
      <c r="C2" s="39" t="s">
        <v>62</v>
      </c>
      <c r="D2" s="39" t="s">
        <v>63</v>
      </c>
      <c r="E2" s="39" t="s">
        <v>8</v>
      </c>
      <c r="F2" s="39" t="s">
        <v>64</v>
      </c>
      <c r="G2" s="39" t="s">
        <v>677</v>
      </c>
      <c r="I2" s="40">
        <v>0.0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0.0</v>
      </c>
      <c r="X2" s="39">
        <v>1.0</v>
      </c>
      <c r="Y2" s="39">
        <v>1.0</v>
      </c>
      <c r="Z2" s="30" t="s">
        <v>678</v>
      </c>
      <c r="AA2" s="30" t="s">
        <v>70</v>
      </c>
      <c r="AE2" s="39">
        <v>1.0</v>
      </c>
    </row>
    <row r="3">
      <c r="A3" s="20" t="s">
        <v>679</v>
      </c>
      <c r="D3" s="39" t="s">
        <v>63</v>
      </c>
      <c r="E3" s="39" t="s">
        <v>8</v>
      </c>
      <c r="F3" s="39" t="s">
        <v>64</v>
      </c>
      <c r="G3" s="41">
        <v>358.0</v>
      </c>
      <c r="H3" s="41">
        <v>358.0</v>
      </c>
      <c r="I3" s="40">
        <v>0.617</v>
      </c>
      <c r="L3" s="39" t="s">
        <v>102</v>
      </c>
      <c r="N3" s="39" t="s">
        <v>178</v>
      </c>
      <c r="O3" s="39" t="s">
        <v>67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200.0</v>
      </c>
      <c r="AE3" s="39">
        <v>1.0</v>
      </c>
    </row>
    <row r="4">
      <c r="A4" s="20" t="s">
        <v>680</v>
      </c>
      <c r="D4" s="39" t="s">
        <v>63</v>
      </c>
      <c r="E4" s="39" t="s">
        <v>8</v>
      </c>
      <c r="F4" s="39" t="s">
        <v>64</v>
      </c>
      <c r="G4" s="41">
        <v>380.0</v>
      </c>
      <c r="H4" s="41">
        <v>380.0</v>
      </c>
      <c r="I4" s="40">
        <v>0.867</v>
      </c>
      <c r="L4" s="39" t="s">
        <v>102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200.0</v>
      </c>
      <c r="AE4" s="39">
        <v>1.0</v>
      </c>
    </row>
    <row r="5">
      <c r="A5" s="20" t="s">
        <v>681</v>
      </c>
      <c r="D5" s="39" t="s">
        <v>63</v>
      </c>
      <c r="E5" s="39" t="s">
        <v>8</v>
      </c>
      <c r="F5" s="39" t="s">
        <v>64</v>
      </c>
      <c r="G5" s="39" t="s">
        <v>682</v>
      </c>
      <c r="I5" s="40">
        <v>1.259</v>
      </c>
      <c r="L5" s="39" t="s">
        <v>102</v>
      </c>
      <c r="N5" s="39" t="s">
        <v>81</v>
      </c>
      <c r="O5" s="39" t="s">
        <v>68</v>
      </c>
      <c r="Q5" s="39">
        <v>1.0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250.0</v>
      </c>
      <c r="AE5" s="39">
        <v>1.0</v>
      </c>
    </row>
    <row r="6">
      <c r="A6" s="20" t="s">
        <v>683</v>
      </c>
      <c r="D6" s="39" t="s">
        <v>63</v>
      </c>
      <c r="E6" s="39" t="s">
        <v>8</v>
      </c>
      <c r="F6" s="39" t="s">
        <v>64</v>
      </c>
      <c r="G6" s="39" t="s">
        <v>684</v>
      </c>
      <c r="H6" s="39" t="s">
        <v>684</v>
      </c>
      <c r="I6" s="40">
        <v>1.668</v>
      </c>
      <c r="L6" s="39" t="s">
        <v>102</v>
      </c>
      <c r="N6" s="39" t="s">
        <v>67</v>
      </c>
      <c r="O6" s="39" t="s">
        <v>81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300.0</v>
      </c>
      <c r="AE6" s="39">
        <v>1.0</v>
      </c>
    </row>
    <row r="7">
      <c r="A7" s="20" t="s">
        <v>685</v>
      </c>
      <c r="D7" s="39" t="s">
        <v>63</v>
      </c>
      <c r="E7" s="39" t="s">
        <v>8</v>
      </c>
      <c r="F7" s="39" t="s">
        <v>64</v>
      </c>
      <c r="G7" s="39" t="s">
        <v>686</v>
      </c>
      <c r="H7" s="39" t="s">
        <v>686</v>
      </c>
      <c r="I7" s="40">
        <v>2.007</v>
      </c>
      <c r="L7" s="39" t="s">
        <v>102</v>
      </c>
      <c r="N7" s="39" t="s">
        <v>67</v>
      </c>
      <c r="O7" s="39" t="s">
        <v>67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400.0</v>
      </c>
      <c r="AE7" s="39">
        <v>1.0</v>
      </c>
    </row>
    <row r="8">
      <c r="A8" s="29" t="s">
        <v>687</v>
      </c>
      <c r="D8" s="39" t="s">
        <v>63</v>
      </c>
      <c r="E8" s="39" t="s">
        <v>8</v>
      </c>
      <c r="F8" s="39" t="s">
        <v>64</v>
      </c>
      <c r="G8" s="39" t="s">
        <v>688</v>
      </c>
      <c r="L8" s="39" t="s">
        <v>111</v>
      </c>
      <c r="N8" s="39" t="s">
        <v>67</v>
      </c>
      <c r="O8" s="39" t="s">
        <v>67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200.0</v>
      </c>
      <c r="AE8" s="39">
        <v>1.0</v>
      </c>
    </row>
    <row r="9">
      <c r="A9" s="20" t="s">
        <v>689</v>
      </c>
      <c r="D9" s="39" t="s">
        <v>63</v>
      </c>
      <c r="E9" s="39" t="s">
        <v>8</v>
      </c>
      <c r="F9" s="39" t="s">
        <v>64</v>
      </c>
      <c r="G9" s="39" t="s">
        <v>690</v>
      </c>
      <c r="H9" s="39" t="s">
        <v>690</v>
      </c>
      <c r="I9" s="40">
        <v>2.434</v>
      </c>
      <c r="L9" s="39" t="s">
        <v>102</v>
      </c>
      <c r="N9" s="39" t="s">
        <v>67</v>
      </c>
      <c r="O9" s="39" t="s">
        <v>67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120.0</v>
      </c>
      <c r="AD9" s="39" t="s">
        <v>111</v>
      </c>
      <c r="AE9" s="39">
        <v>1.0</v>
      </c>
    </row>
    <row r="10">
      <c r="A10" s="20" t="s">
        <v>691</v>
      </c>
      <c r="D10" s="39" t="s">
        <v>63</v>
      </c>
      <c r="E10" s="39" t="s">
        <v>8</v>
      </c>
      <c r="F10" s="39" t="s">
        <v>64</v>
      </c>
      <c r="G10" s="39" t="s">
        <v>692</v>
      </c>
      <c r="H10" s="39" t="s">
        <v>692</v>
      </c>
      <c r="I10" s="40">
        <v>2.935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300.0</v>
      </c>
      <c r="AE10" s="39">
        <v>1.0</v>
      </c>
    </row>
    <row r="11">
      <c r="A11" s="20" t="s">
        <v>693</v>
      </c>
      <c r="D11" s="39" t="s">
        <v>63</v>
      </c>
      <c r="E11" s="39" t="s">
        <v>8</v>
      </c>
      <c r="F11" s="39" t="s">
        <v>64</v>
      </c>
      <c r="G11" s="39" t="s">
        <v>694</v>
      </c>
      <c r="H11" s="39" t="s">
        <v>694</v>
      </c>
      <c r="I11" s="40">
        <v>3.381</v>
      </c>
      <c r="L11" s="39" t="s">
        <v>102</v>
      </c>
      <c r="N11" s="39" t="s">
        <v>67</v>
      </c>
      <c r="O11" s="39" t="s">
        <v>81</v>
      </c>
      <c r="Q11" s="39">
        <v>0.0</v>
      </c>
      <c r="R11" s="39">
        <v>0.0</v>
      </c>
      <c r="S11" s="39">
        <v>1.0</v>
      </c>
      <c r="T11" s="39">
        <v>0.0</v>
      </c>
      <c r="U11" s="39">
        <v>1.0</v>
      </c>
      <c r="V11" s="39">
        <v>0.0</v>
      </c>
      <c r="W11" s="39">
        <v>0.0</v>
      </c>
      <c r="X11" s="39">
        <v>0.0</v>
      </c>
      <c r="Y11" s="39">
        <v>0.0</v>
      </c>
      <c r="AC11" s="39">
        <v>400.0</v>
      </c>
      <c r="AE11" s="39">
        <v>1.0</v>
      </c>
    </row>
    <row r="12">
      <c r="A12" s="20" t="s">
        <v>695</v>
      </c>
      <c r="B12" s="39" t="s">
        <v>104</v>
      </c>
      <c r="C12" s="39" t="s">
        <v>105</v>
      </c>
      <c r="D12" s="39" t="s">
        <v>63</v>
      </c>
      <c r="E12" s="39" t="s">
        <v>8</v>
      </c>
      <c r="F12" s="39" t="s">
        <v>64</v>
      </c>
      <c r="G12" s="39" t="s">
        <v>696</v>
      </c>
      <c r="H12" s="39" t="s">
        <v>696</v>
      </c>
      <c r="I12" s="40">
        <v>3.777</v>
      </c>
      <c r="L12" s="39" t="s">
        <v>66</v>
      </c>
      <c r="N12" s="39" t="s">
        <v>67</v>
      </c>
      <c r="O12" s="39" t="s">
        <v>81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400.0</v>
      </c>
      <c r="AE12" s="39">
        <v>1.0</v>
      </c>
    </row>
    <row r="13">
      <c r="A13" s="20" t="s">
        <v>697</v>
      </c>
      <c r="B13" s="39" t="s">
        <v>104</v>
      </c>
      <c r="C13" s="39" t="s">
        <v>105</v>
      </c>
      <c r="D13" s="39" t="s">
        <v>63</v>
      </c>
      <c r="E13" s="39" t="s">
        <v>8</v>
      </c>
      <c r="F13" s="39" t="s">
        <v>64</v>
      </c>
      <c r="G13" s="39" t="s">
        <v>657</v>
      </c>
      <c r="I13" s="40">
        <v>4.21</v>
      </c>
      <c r="L13" s="39" t="s">
        <v>66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1.0</v>
      </c>
      <c r="W13" s="39">
        <v>1.0</v>
      </c>
      <c r="X13" s="39">
        <v>0.0</v>
      </c>
      <c r="Y13" s="39">
        <v>1.0</v>
      </c>
      <c r="Z13" s="30" t="s">
        <v>698</v>
      </c>
      <c r="AA13" s="30" t="s">
        <v>97</v>
      </c>
      <c r="AC13" s="39">
        <v>500.0</v>
      </c>
      <c r="AE13" s="39">
        <v>1.0</v>
      </c>
    </row>
    <row r="14">
      <c r="A14" s="20" t="s">
        <v>699</v>
      </c>
      <c r="B14" s="39" t="s">
        <v>104</v>
      </c>
      <c r="C14" s="39" t="s">
        <v>105</v>
      </c>
      <c r="D14" s="39" t="s">
        <v>63</v>
      </c>
      <c r="E14" s="39" t="s">
        <v>8</v>
      </c>
      <c r="F14" s="39" t="s">
        <v>64</v>
      </c>
      <c r="G14" s="39" t="s">
        <v>700</v>
      </c>
      <c r="H14" s="39" t="s">
        <v>700</v>
      </c>
      <c r="I14" s="40">
        <v>4.581</v>
      </c>
      <c r="L14" s="39" t="s">
        <v>66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600.0</v>
      </c>
      <c r="AE14" s="39">
        <v>1.0</v>
      </c>
    </row>
    <row r="15">
      <c r="A15" s="20" t="s">
        <v>701</v>
      </c>
      <c r="D15" s="39" t="s">
        <v>63</v>
      </c>
      <c r="E15" s="39" t="s">
        <v>8</v>
      </c>
      <c r="F15" s="39" t="s">
        <v>64</v>
      </c>
      <c r="G15" s="39" t="s">
        <v>702</v>
      </c>
      <c r="H15" s="39" t="s">
        <v>702</v>
      </c>
      <c r="I15" s="40">
        <v>4.945</v>
      </c>
      <c r="L15" s="39" t="s">
        <v>102</v>
      </c>
      <c r="N15" s="39" t="s">
        <v>81</v>
      </c>
      <c r="O15" s="39" t="s">
        <v>68</v>
      </c>
      <c r="Q15" s="39">
        <v>1.0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500.0</v>
      </c>
      <c r="AE15" s="39">
        <v>1.0</v>
      </c>
    </row>
    <row r="16">
      <c r="A16" s="20" t="s">
        <v>703</v>
      </c>
      <c r="D16" s="39" t="s">
        <v>63</v>
      </c>
      <c r="E16" s="39" t="s">
        <v>8</v>
      </c>
      <c r="F16" s="39" t="s">
        <v>64</v>
      </c>
      <c r="G16" s="39" t="s">
        <v>704</v>
      </c>
      <c r="H16" s="39" t="s">
        <v>704</v>
      </c>
      <c r="I16" s="40">
        <v>5.366</v>
      </c>
      <c r="L16" s="39" t="s">
        <v>102</v>
      </c>
      <c r="N16" s="39" t="s">
        <v>81</v>
      </c>
      <c r="O16" s="39" t="s">
        <v>68</v>
      </c>
      <c r="Q16" s="39">
        <v>1.0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300.0</v>
      </c>
      <c r="AE16" s="39">
        <v>1.0</v>
      </c>
    </row>
    <row r="17">
      <c r="A17" s="20" t="s">
        <v>705</v>
      </c>
      <c r="D17" s="39" t="s">
        <v>63</v>
      </c>
      <c r="E17" s="39" t="s">
        <v>8</v>
      </c>
      <c r="F17" s="39" t="s">
        <v>64</v>
      </c>
      <c r="G17" s="39" t="s">
        <v>706</v>
      </c>
      <c r="H17" s="39" t="s">
        <v>706</v>
      </c>
      <c r="I17" s="40">
        <v>5.691</v>
      </c>
      <c r="L17" s="39" t="s">
        <v>102</v>
      </c>
      <c r="N17" s="39" t="s">
        <v>81</v>
      </c>
      <c r="O17" s="39" t="s">
        <v>68</v>
      </c>
      <c r="Q17" s="39">
        <v>1.0</v>
      </c>
      <c r="R17" s="39">
        <v>0.0</v>
      </c>
      <c r="S17" s="39">
        <v>0.0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500.0</v>
      </c>
      <c r="AE17" s="39">
        <v>1.0</v>
      </c>
    </row>
    <row r="18">
      <c r="A18" s="20" t="s">
        <v>707</v>
      </c>
      <c r="D18" s="39" t="s">
        <v>63</v>
      </c>
      <c r="E18" s="39" t="s">
        <v>8</v>
      </c>
      <c r="F18" s="39" t="s">
        <v>64</v>
      </c>
      <c r="G18" s="39" t="s">
        <v>708</v>
      </c>
      <c r="H18" s="39" t="s">
        <v>708</v>
      </c>
      <c r="I18" s="40">
        <v>6.15</v>
      </c>
      <c r="L18" s="39" t="s">
        <v>102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600.0</v>
      </c>
      <c r="AE18" s="39">
        <v>1.0</v>
      </c>
    </row>
    <row r="19">
      <c r="A19" s="20" t="s">
        <v>709</v>
      </c>
      <c r="D19" s="39" t="s">
        <v>63</v>
      </c>
      <c r="E19" s="39" t="s">
        <v>8</v>
      </c>
      <c r="F19" s="39" t="s">
        <v>64</v>
      </c>
      <c r="G19" s="39" t="s">
        <v>710</v>
      </c>
      <c r="H19" s="39" t="s">
        <v>710</v>
      </c>
      <c r="I19" s="40">
        <v>6.57</v>
      </c>
      <c r="L19" s="39" t="s">
        <v>102</v>
      </c>
      <c r="N19" s="39" t="s">
        <v>67</v>
      </c>
      <c r="O19" s="39" t="s">
        <v>81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400.0</v>
      </c>
      <c r="AE19" s="39">
        <v>1.0</v>
      </c>
    </row>
    <row r="20">
      <c r="A20" s="20" t="s">
        <v>711</v>
      </c>
      <c r="B20" s="39" t="s">
        <v>129</v>
      </c>
      <c r="C20" s="39" t="s">
        <v>130</v>
      </c>
      <c r="D20" s="39" t="s">
        <v>63</v>
      </c>
      <c r="E20" s="39" t="s">
        <v>8</v>
      </c>
      <c r="F20" s="39" t="s">
        <v>64</v>
      </c>
      <c r="G20" s="39" t="s">
        <v>712</v>
      </c>
      <c r="H20" s="39" t="s">
        <v>712</v>
      </c>
      <c r="I20" s="40">
        <v>7.113</v>
      </c>
      <c r="L20" s="39" t="s">
        <v>66</v>
      </c>
      <c r="N20" s="39" t="s">
        <v>67</v>
      </c>
      <c r="O20" s="39" t="s">
        <v>81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400.0</v>
      </c>
      <c r="AE20" s="39">
        <v>1.0</v>
      </c>
    </row>
    <row r="21">
      <c r="A21" s="20" t="s">
        <v>713</v>
      </c>
      <c r="B21" s="39" t="s">
        <v>129</v>
      </c>
      <c r="C21" s="39" t="s">
        <v>130</v>
      </c>
      <c r="D21" s="39" t="s">
        <v>63</v>
      </c>
      <c r="E21" s="39" t="s">
        <v>8</v>
      </c>
      <c r="F21" s="39" t="s">
        <v>64</v>
      </c>
      <c r="G21" s="39" t="s">
        <v>714</v>
      </c>
      <c r="H21" s="39" t="s">
        <v>714</v>
      </c>
      <c r="I21" s="40">
        <v>7.566</v>
      </c>
      <c r="L21" s="39" t="s">
        <v>66</v>
      </c>
      <c r="N21" s="39" t="s">
        <v>67</v>
      </c>
      <c r="O21" s="39" t="s">
        <v>81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1.0</v>
      </c>
      <c r="W21" s="39">
        <v>0.0</v>
      </c>
      <c r="X21" s="39">
        <v>2.0</v>
      </c>
      <c r="Y21" s="39">
        <v>0.0</v>
      </c>
      <c r="Z21" s="30" t="s">
        <v>715</v>
      </c>
      <c r="AA21" s="30" t="s">
        <v>78</v>
      </c>
      <c r="AC21" s="39">
        <v>400.0</v>
      </c>
      <c r="AE21" s="39">
        <v>1.0</v>
      </c>
    </row>
    <row r="22">
      <c r="A22" s="20" t="s">
        <v>716</v>
      </c>
      <c r="B22" s="39" t="s">
        <v>129</v>
      </c>
      <c r="C22" s="39" t="s">
        <v>130</v>
      </c>
      <c r="D22" s="39" t="s">
        <v>63</v>
      </c>
      <c r="E22" s="39" t="s">
        <v>8</v>
      </c>
      <c r="F22" s="39" t="s">
        <v>64</v>
      </c>
      <c r="G22" s="39" t="s">
        <v>717</v>
      </c>
      <c r="I22" s="40">
        <v>8.089</v>
      </c>
      <c r="L22" s="39" t="s">
        <v>66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250.0</v>
      </c>
      <c r="AE22" s="39">
        <v>1.0</v>
      </c>
    </row>
    <row r="23">
      <c r="A23" s="20" t="s">
        <v>718</v>
      </c>
      <c r="B23" s="39" t="s">
        <v>137</v>
      </c>
      <c r="C23" s="39" t="s">
        <v>138</v>
      </c>
      <c r="D23" s="39" t="s">
        <v>63</v>
      </c>
      <c r="E23" s="39" t="s">
        <v>8</v>
      </c>
      <c r="F23" s="39" t="s">
        <v>64</v>
      </c>
      <c r="G23" s="39" t="s">
        <v>719</v>
      </c>
      <c r="H23" s="39" t="s">
        <v>719</v>
      </c>
      <c r="I23" s="40">
        <v>8.557</v>
      </c>
      <c r="L23" s="39" t="s">
        <v>66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1.0</v>
      </c>
      <c r="X23" s="39">
        <v>0.0</v>
      </c>
      <c r="Y23" s="39">
        <v>0.0</v>
      </c>
      <c r="AC23" s="39">
        <v>500.0</v>
      </c>
      <c r="AE23" s="39">
        <v>1.0</v>
      </c>
    </row>
    <row r="24">
      <c r="A24" s="20" t="s">
        <v>720</v>
      </c>
      <c r="B24" s="39" t="s">
        <v>137</v>
      </c>
      <c r="C24" s="39" t="s">
        <v>138</v>
      </c>
      <c r="D24" s="39" t="s">
        <v>63</v>
      </c>
      <c r="E24" s="39" t="s">
        <v>8</v>
      </c>
      <c r="F24" s="39" t="s">
        <v>64</v>
      </c>
      <c r="G24" s="39" t="s">
        <v>721</v>
      </c>
      <c r="I24" s="40">
        <v>8.995</v>
      </c>
      <c r="L24" s="39" t="s">
        <v>66</v>
      </c>
      <c r="N24" s="39" t="s">
        <v>81</v>
      </c>
      <c r="O24" s="39" t="s">
        <v>68</v>
      </c>
      <c r="Q24" s="39">
        <v>1.0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1.0</v>
      </c>
      <c r="X24" s="39">
        <v>0.0</v>
      </c>
      <c r="Y24" s="39">
        <v>0.0</v>
      </c>
      <c r="AC24" s="39">
        <v>300.0</v>
      </c>
      <c r="AE24" s="39">
        <v>1.0</v>
      </c>
    </row>
    <row r="25">
      <c r="A25" s="20" t="s">
        <v>722</v>
      </c>
      <c r="D25" s="39" t="s">
        <v>63</v>
      </c>
      <c r="E25" s="39" t="s">
        <v>8</v>
      </c>
      <c r="F25" s="39" t="s">
        <v>64</v>
      </c>
      <c r="G25" s="39" t="s">
        <v>723</v>
      </c>
      <c r="H25" s="39" t="s">
        <v>723</v>
      </c>
      <c r="I25" s="40">
        <v>9.535</v>
      </c>
      <c r="L25" s="39" t="s">
        <v>102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300.0</v>
      </c>
      <c r="AE25" s="39">
        <v>1.0</v>
      </c>
    </row>
    <row r="26">
      <c r="A26" s="20" t="s">
        <v>724</v>
      </c>
      <c r="D26" s="39" t="s">
        <v>63</v>
      </c>
      <c r="E26" s="39" t="s">
        <v>8</v>
      </c>
      <c r="F26" s="39" t="s">
        <v>64</v>
      </c>
      <c r="G26" s="39" t="s">
        <v>725</v>
      </c>
      <c r="H26" s="39" t="s">
        <v>725</v>
      </c>
      <c r="I26" s="40">
        <v>9.955</v>
      </c>
      <c r="L26" s="39" t="s">
        <v>102</v>
      </c>
      <c r="N26" s="39" t="s">
        <v>81</v>
      </c>
      <c r="O26" s="39" t="s">
        <v>68</v>
      </c>
      <c r="Q26" s="39">
        <v>1.0</v>
      </c>
      <c r="R26" s="39">
        <v>0.0</v>
      </c>
      <c r="S26" s="39">
        <v>0.0</v>
      </c>
      <c r="T26" s="39">
        <v>0.0</v>
      </c>
      <c r="U26" s="39">
        <v>1.0</v>
      </c>
      <c r="V26" s="39">
        <v>0.0</v>
      </c>
      <c r="W26" s="39">
        <v>0.0</v>
      </c>
      <c r="X26" s="39">
        <v>0.0</v>
      </c>
      <c r="Y26" s="39">
        <v>0.0</v>
      </c>
      <c r="AC26" s="39">
        <v>300.0</v>
      </c>
      <c r="AE26" s="39">
        <v>1.0</v>
      </c>
    </row>
    <row r="27">
      <c r="A27" s="20" t="s">
        <v>726</v>
      </c>
      <c r="B27" s="39" t="s">
        <v>137</v>
      </c>
      <c r="C27" s="39" t="s">
        <v>138</v>
      </c>
      <c r="D27" s="39" t="s">
        <v>63</v>
      </c>
      <c r="E27" s="39" t="s">
        <v>8</v>
      </c>
      <c r="F27" s="39" t="s">
        <v>64</v>
      </c>
      <c r="G27" s="39" t="s">
        <v>727</v>
      </c>
      <c r="H27" s="39" t="s">
        <v>727</v>
      </c>
      <c r="I27" s="40">
        <v>10.419</v>
      </c>
      <c r="L27" s="39" t="s">
        <v>66</v>
      </c>
      <c r="N27" s="39" t="s">
        <v>81</v>
      </c>
      <c r="O27" s="39" t="s">
        <v>68</v>
      </c>
      <c r="Q27" s="39">
        <v>1.0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400.0</v>
      </c>
      <c r="AE27" s="39">
        <v>1.0</v>
      </c>
    </row>
    <row r="28">
      <c r="A28" s="29" t="s">
        <v>728</v>
      </c>
      <c r="B28" s="39" t="s">
        <v>137</v>
      </c>
      <c r="C28" s="39" t="s">
        <v>138</v>
      </c>
      <c r="D28" s="39" t="s">
        <v>63</v>
      </c>
      <c r="E28" s="39" t="s">
        <v>8</v>
      </c>
      <c r="F28" s="39" t="s">
        <v>64</v>
      </c>
      <c r="G28" s="39" t="s">
        <v>729</v>
      </c>
      <c r="H28" s="39" t="s">
        <v>729</v>
      </c>
      <c r="I28" s="40">
        <v>10.833</v>
      </c>
      <c r="L28" s="39" t="s">
        <v>66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1.0</v>
      </c>
      <c r="W28" s="39">
        <v>0.0</v>
      </c>
      <c r="X28" s="39">
        <v>0.0</v>
      </c>
      <c r="Y28" s="39">
        <v>1.0</v>
      </c>
      <c r="Z28" s="30" t="s">
        <v>698</v>
      </c>
      <c r="AA28" s="30" t="s">
        <v>97</v>
      </c>
      <c r="AC28" s="39">
        <v>400.0</v>
      </c>
      <c r="AE28" s="39">
        <v>1.0</v>
      </c>
    </row>
    <row r="29">
      <c r="A29" s="20" t="s">
        <v>730</v>
      </c>
      <c r="D29" s="39" t="s">
        <v>63</v>
      </c>
      <c r="E29" s="39" t="s">
        <v>8</v>
      </c>
      <c r="F29" s="39" t="s">
        <v>64</v>
      </c>
      <c r="G29" s="39" t="s">
        <v>731</v>
      </c>
      <c r="H29" s="39" t="s">
        <v>731</v>
      </c>
      <c r="I29" s="40">
        <v>11.282</v>
      </c>
      <c r="L29" s="39" t="s">
        <v>102</v>
      </c>
      <c r="N29" s="39" t="s">
        <v>81</v>
      </c>
      <c r="O29" s="39" t="s">
        <v>68</v>
      </c>
      <c r="Q29" s="39">
        <v>1.0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400.0</v>
      </c>
      <c r="AE29" s="39">
        <v>1.0</v>
      </c>
    </row>
    <row r="30">
      <c r="A30" s="20" t="s">
        <v>732</v>
      </c>
      <c r="D30" s="39" t="s">
        <v>63</v>
      </c>
      <c r="E30" s="39" t="s">
        <v>8</v>
      </c>
      <c r="F30" s="39" t="s">
        <v>64</v>
      </c>
      <c r="G30" s="39" t="s">
        <v>733</v>
      </c>
      <c r="H30" s="39" t="s">
        <v>733</v>
      </c>
      <c r="I30" s="40">
        <v>11.724</v>
      </c>
      <c r="L30" s="39" t="s">
        <v>102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500.0</v>
      </c>
      <c r="AE30" s="39">
        <v>1.0</v>
      </c>
    </row>
    <row r="31">
      <c r="A31" s="20" t="s">
        <v>734</v>
      </c>
      <c r="D31" s="39" t="s">
        <v>63</v>
      </c>
      <c r="E31" s="39" t="s">
        <v>8</v>
      </c>
      <c r="F31" s="39" t="s">
        <v>64</v>
      </c>
      <c r="G31" s="39" t="s">
        <v>735</v>
      </c>
      <c r="H31" s="39" t="s">
        <v>735</v>
      </c>
      <c r="I31" s="40">
        <v>12.179</v>
      </c>
      <c r="L31" s="39" t="s">
        <v>102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300.0</v>
      </c>
      <c r="AE31" s="39">
        <v>1.0</v>
      </c>
    </row>
    <row r="32">
      <c r="A32" s="20" t="s">
        <v>736</v>
      </c>
      <c r="D32" s="39" t="s">
        <v>63</v>
      </c>
      <c r="E32" s="39" t="s">
        <v>8</v>
      </c>
      <c r="F32" s="39" t="s">
        <v>64</v>
      </c>
      <c r="G32" s="39" t="s">
        <v>737</v>
      </c>
      <c r="H32" s="39" t="s">
        <v>737</v>
      </c>
      <c r="I32" s="40">
        <v>12.604</v>
      </c>
      <c r="L32" s="39" t="s">
        <v>102</v>
      </c>
      <c r="N32" s="39" t="s">
        <v>67</v>
      </c>
      <c r="O32" s="39" t="s">
        <v>67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C32" s="39">
        <v>400.0</v>
      </c>
      <c r="AE32" s="39">
        <v>1.0</v>
      </c>
    </row>
    <row r="33">
      <c r="A33" s="20" t="s">
        <v>738</v>
      </c>
      <c r="D33" s="39" t="s">
        <v>63</v>
      </c>
      <c r="E33" s="39" t="s">
        <v>8</v>
      </c>
      <c r="F33" s="39" t="s">
        <v>64</v>
      </c>
      <c r="G33" s="39" t="s">
        <v>739</v>
      </c>
      <c r="H33" s="39" t="s">
        <v>739</v>
      </c>
      <c r="I33" s="40">
        <v>13.107</v>
      </c>
      <c r="L33" s="39" t="s">
        <v>102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500.0</v>
      </c>
      <c r="AE33" s="39">
        <v>1.0</v>
      </c>
    </row>
    <row r="34">
      <c r="A34" s="20" t="s">
        <v>740</v>
      </c>
      <c r="D34" s="39" t="s">
        <v>63</v>
      </c>
      <c r="E34" s="39" t="s">
        <v>8</v>
      </c>
      <c r="F34" s="39" t="s">
        <v>64</v>
      </c>
      <c r="G34" s="39" t="s">
        <v>741</v>
      </c>
      <c r="H34" s="39" t="s">
        <v>741</v>
      </c>
      <c r="I34" s="40">
        <v>13.777</v>
      </c>
      <c r="L34" s="39" t="s">
        <v>102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600.0</v>
      </c>
      <c r="AE34" s="39">
        <v>1.0</v>
      </c>
    </row>
    <row r="35">
      <c r="A35" s="20" t="s">
        <v>742</v>
      </c>
      <c r="D35" s="39" t="s">
        <v>63</v>
      </c>
      <c r="E35" s="39" t="s">
        <v>8</v>
      </c>
      <c r="F35" s="39" t="s">
        <v>64</v>
      </c>
      <c r="G35" s="39" t="s">
        <v>743</v>
      </c>
      <c r="H35" s="39" t="s">
        <v>743</v>
      </c>
      <c r="I35" s="40">
        <v>14.292</v>
      </c>
      <c r="L35" s="39" t="s">
        <v>102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500.0</v>
      </c>
      <c r="AE35" s="39">
        <v>1.0</v>
      </c>
    </row>
    <row r="36">
      <c r="A36" s="20" t="s">
        <v>744</v>
      </c>
      <c r="D36" s="39" t="s">
        <v>63</v>
      </c>
      <c r="E36" s="39" t="s">
        <v>8</v>
      </c>
      <c r="F36" s="39" t="s">
        <v>64</v>
      </c>
      <c r="G36" s="39" t="s">
        <v>745</v>
      </c>
      <c r="H36" s="39" t="s">
        <v>745</v>
      </c>
      <c r="I36" s="40">
        <v>14.681</v>
      </c>
      <c r="L36" s="39" t="s">
        <v>102</v>
      </c>
      <c r="N36" s="39" t="s">
        <v>67</v>
      </c>
      <c r="O36" s="39" t="s">
        <v>81</v>
      </c>
      <c r="Q36" s="39">
        <v>0.0</v>
      </c>
      <c r="R36" s="39">
        <v>0.0</v>
      </c>
      <c r="S36" s="39">
        <v>1.0</v>
      </c>
      <c r="T36" s="39">
        <v>0.0</v>
      </c>
      <c r="U36" s="39">
        <v>1.0</v>
      </c>
      <c r="V36" s="39">
        <v>0.0</v>
      </c>
      <c r="W36" s="39">
        <v>0.0</v>
      </c>
      <c r="X36" s="39">
        <v>0.0</v>
      </c>
      <c r="Y36" s="39">
        <v>0.0</v>
      </c>
      <c r="AC36" s="39">
        <v>600.0</v>
      </c>
      <c r="AE36" s="39">
        <v>1.0</v>
      </c>
    </row>
    <row r="37">
      <c r="A37" s="20" t="s">
        <v>746</v>
      </c>
      <c r="B37" s="39" t="s">
        <v>172</v>
      </c>
      <c r="C37" s="39" t="s">
        <v>173</v>
      </c>
      <c r="D37" s="39" t="s">
        <v>63</v>
      </c>
      <c r="E37" s="39" t="s">
        <v>8</v>
      </c>
      <c r="F37" s="39" t="s">
        <v>64</v>
      </c>
      <c r="G37" s="39" t="s">
        <v>747</v>
      </c>
      <c r="H37" s="39" t="s">
        <v>747</v>
      </c>
      <c r="I37" s="40">
        <v>15.07</v>
      </c>
      <c r="L37" s="39" t="s">
        <v>66</v>
      </c>
      <c r="N37" s="39" t="s">
        <v>67</v>
      </c>
      <c r="O37" s="39" t="s">
        <v>81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1.0</v>
      </c>
      <c r="W37" s="39">
        <v>1.0</v>
      </c>
      <c r="X37" s="39">
        <v>0.0</v>
      </c>
      <c r="Y37" s="39">
        <v>2.0</v>
      </c>
      <c r="Z37" s="30" t="s">
        <v>748</v>
      </c>
      <c r="AA37" s="30" t="s">
        <v>315</v>
      </c>
      <c r="AC37" s="39">
        <v>400.0</v>
      </c>
      <c r="AE37" s="39">
        <v>1.0</v>
      </c>
    </row>
    <row r="38">
      <c r="A38" s="20" t="s">
        <v>749</v>
      </c>
      <c r="B38" s="39" t="s">
        <v>172</v>
      </c>
      <c r="C38" s="39" t="s">
        <v>173</v>
      </c>
      <c r="D38" s="39" t="s">
        <v>63</v>
      </c>
      <c r="E38" s="39" t="s">
        <v>8</v>
      </c>
      <c r="F38" s="39" t="s">
        <v>64</v>
      </c>
      <c r="G38" s="39" t="s">
        <v>750</v>
      </c>
      <c r="H38" s="39" t="s">
        <v>750</v>
      </c>
      <c r="I38" s="40">
        <v>15.66</v>
      </c>
      <c r="L38" s="39" t="s">
        <v>66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300.0</v>
      </c>
      <c r="AE38" s="39">
        <v>1.0</v>
      </c>
    </row>
    <row r="39">
      <c r="A39" s="20" t="s">
        <v>751</v>
      </c>
      <c r="B39" s="39" t="s">
        <v>172</v>
      </c>
      <c r="C39" s="39" t="s">
        <v>173</v>
      </c>
      <c r="D39" s="39" t="s">
        <v>63</v>
      </c>
      <c r="E39" s="39" t="s">
        <v>8</v>
      </c>
      <c r="F39" s="39" t="s">
        <v>64</v>
      </c>
      <c r="G39" s="39" t="s">
        <v>752</v>
      </c>
      <c r="H39" s="39" t="s">
        <v>752</v>
      </c>
      <c r="I39" s="40">
        <v>16.226</v>
      </c>
      <c r="L39" s="39" t="s">
        <v>66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500.0</v>
      </c>
      <c r="AE39" s="39">
        <v>1.0</v>
      </c>
    </row>
    <row r="40">
      <c r="A40" s="20" t="s">
        <v>753</v>
      </c>
      <c r="D40" s="39" t="s">
        <v>63</v>
      </c>
      <c r="E40" s="39" t="s">
        <v>8</v>
      </c>
      <c r="F40" s="39" t="s">
        <v>64</v>
      </c>
      <c r="G40" s="39" t="s">
        <v>754</v>
      </c>
      <c r="H40" s="39" t="s">
        <v>754</v>
      </c>
      <c r="I40" s="40">
        <v>16.689</v>
      </c>
      <c r="L40" s="39" t="s">
        <v>102</v>
      </c>
      <c r="N40" s="39" t="s">
        <v>67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400.0</v>
      </c>
      <c r="AE40" s="39">
        <v>1.0</v>
      </c>
    </row>
    <row r="41">
      <c r="A41" s="20" t="s">
        <v>755</v>
      </c>
      <c r="B41" s="39" t="s">
        <v>559</v>
      </c>
      <c r="C41" s="39" t="s">
        <v>756</v>
      </c>
      <c r="D41" s="39" t="s">
        <v>63</v>
      </c>
      <c r="E41" s="39" t="s">
        <v>8</v>
      </c>
      <c r="F41" s="39" t="s">
        <v>64</v>
      </c>
      <c r="G41" s="39" t="s">
        <v>757</v>
      </c>
      <c r="H41" s="39" t="s">
        <v>757</v>
      </c>
      <c r="I41" s="40">
        <v>17.17</v>
      </c>
      <c r="L41" s="39" t="s">
        <v>66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1.0</v>
      </c>
      <c r="V41" s="39">
        <v>0.0</v>
      </c>
      <c r="W41" s="39">
        <v>0.0</v>
      </c>
      <c r="X41" s="39">
        <v>0.0</v>
      </c>
      <c r="Y41" s="39">
        <v>0.0</v>
      </c>
      <c r="AC41" s="39">
        <v>400.0</v>
      </c>
      <c r="AE41" s="39">
        <v>1.0</v>
      </c>
    </row>
    <row r="42">
      <c r="A42" s="20" t="s">
        <v>758</v>
      </c>
      <c r="B42" s="39" t="s">
        <v>559</v>
      </c>
      <c r="C42" s="39" t="s">
        <v>756</v>
      </c>
      <c r="D42" s="39" t="s">
        <v>63</v>
      </c>
      <c r="E42" s="39" t="s">
        <v>8</v>
      </c>
      <c r="F42" s="39" t="s">
        <v>64</v>
      </c>
      <c r="G42" s="39" t="s">
        <v>759</v>
      </c>
      <c r="H42" s="39" t="s">
        <v>759</v>
      </c>
      <c r="I42" s="40">
        <v>17.705</v>
      </c>
      <c r="L42" s="39" t="s">
        <v>66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400.0</v>
      </c>
      <c r="AE42" s="39">
        <v>1.0</v>
      </c>
    </row>
    <row r="43">
      <c r="A43" s="29" t="s">
        <v>760</v>
      </c>
      <c r="B43" s="39" t="s">
        <v>559</v>
      </c>
      <c r="C43" s="39" t="s">
        <v>756</v>
      </c>
      <c r="D43" s="39" t="s">
        <v>63</v>
      </c>
      <c r="E43" s="39" t="s">
        <v>8</v>
      </c>
      <c r="F43" s="39" t="s">
        <v>64</v>
      </c>
      <c r="G43" s="39" t="s">
        <v>761</v>
      </c>
      <c r="L43" s="39" t="s">
        <v>111</v>
      </c>
      <c r="N43" s="39" t="s">
        <v>67</v>
      </c>
      <c r="O43" s="39" t="s">
        <v>81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C43" s="39">
        <v>200.0</v>
      </c>
      <c r="AE43" s="39">
        <v>1.0</v>
      </c>
    </row>
    <row r="44">
      <c r="A44" s="20" t="s">
        <v>762</v>
      </c>
      <c r="B44" s="39" t="s">
        <v>559</v>
      </c>
      <c r="C44" s="39" t="s">
        <v>756</v>
      </c>
      <c r="D44" s="39" t="s">
        <v>63</v>
      </c>
      <c r="E44" s="39" t="s">
        <v>8</v>
      </c>
      <c r="F44" s="39" t="s">
        <v>64</v>
      </c>
      <c r="G44" s="39" t="s">
        <v>763</v>
      </c>
      <c r="H44" s="39" t="s">
        <v>763</v>
      </c>
      <c r="I44" s="40">
        <v>18.126</v>
      </c>
      <c r="L44" s="39" t="s">
        <v>66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150.0</v>
      </c>
      <c r="AD44" s="39" t="s">
        <v>111</v>
      </c>
      <c r="AE44" s="39">
        <v>1.0</v>
      </c>
    </row>
    <row r="45">
      <c r="A45" s="20" t="s">
        <v>764</v>
      </c>
      <c r="D45" s="39" t="s">
        <v>63</v>
      </c>
      <c r="E45" s="39" t="s">
        <v>8</v>
      </c>
      <c r="F45" s="39" t="s">
        <v>64</v>
      </c>
      <c r="G45" s="39" t="s">
        <v>765</v>
      </c>
      <c r="H45" s="39" t="s">
        <v>765</v>
      </c>
      <c r="I45" s="40">
        <v>18.475</v>
      </c>
      <c r="L45" s="39" t="s">
        <v>102</v>
      </c>
      <c r="N45" s="39" t="s">
        <v>67</v>
      </c>
      <c r="O45" s="39" t="s">
        <v>81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C45" s="39">
        <v>300.0</v>
      </c>
      <c r="AE45" s="39">
        <v>1.0</v>
      </c>
    </row>
    <row r="46">
      <c r="A46" s="20" t="s">
        <v>766</v>
      </c>
      <c r="B46" s="39" t="s">
        <v>559</v>
      </c>
      <c r="C46" s="39" t="s">
        <v>756</v>
      </c>
      <c r="D46" s="39" t="s">
        <v>63</v>
      </c>
      <c r="E46" s="39" t="s">
        <v>8</v>
      </c>
      <c r="F46" s="39" t="s">
        <v>64</v>
      </c>
      <c r="G46" s="39" t="s">
        <v>767</v>
      </c>
      <c r="H46" s="39" t="s">
        <v>767</v>
      </c>
      <c r="I46" s="40">
        <v>18.899</v>
      </c>
      <c r="L46" s="39" t="s">
        <v>66</v>
      </c>
      <c r="N46" s="39" t="s">
        <v>67</v>
      </c>
      <c r="O46" s="39" t="s">
        <v>81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300.0</v>
      </c>
      <c r="AE46" s="39">
        <v>1.0</v>
      </c>
    </row>
    <row r="47">
      <c r="A47" s="20" t="s">
        <v>768</v>
      </c>
      <c r="B47" s="39" t="s">
        <v>559</v>
      </c>
      <c r="C47" s="39" t="s">
        <v>756</v>
      </c>
      <c r="D47" s="39" t="s">
        <v>63</v>
      </c>
      <c r="E47" s="39" t="s">
        <v>8</v>
      </c>
      <c r="F47" s="39" t="s">
        <v>64</v>
      </c>
      <c r="G47" s="39" t="s">
        <v>769</v>
      </c>
      <c r="H47" s="39" t="s">
        <v>769</v>
      </c>
      <c r="I47" s="40">
        <v>19.532</v>
      </c>
      <c r="L47" s="39" t="s">
        <v>66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300.0</v>
      </c>
      <c r="AE47" s="39">
        <v>1.0</v>
      </c>
    </row>
    <row r="48">
      <c r="A48" s="20" t="s">
        <v>770</v>
      </c>
      <c r="D48" s="39" t="s">
        <v>63</v>
      </c>
      <c r="E48" s="39" t="s">
        <v>8</v>
      </c>
      <c r="F48" s="39" t="s">
        <v>64</v>
      </c>
      <c r="G48" s="39" t="s">
        <v>771</v>
      </c>
      <c r="H48" s="39" t="s">
        <v>771</v>
      </c>
      <c r="I48" s="40">
        <v>19.922</v>
      </c>
      <c r="L48" s="39" t="s">
        <v>102</v>
      </c>
      <c r="N48" s="39" t="s">
        <v>67</v>
      </c>
      <c r="O48" s="39" t="s">
        <v>67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300.0</v>
      </c>
      <c r="AE48" s="39">
        <v>1.0</v>
      </c>
    </row>
    <row r="49">
      <c r="A49" s="20" t="s">
        <v>772</v>
      </c>
      <c r="D49" s="39" t="s">
        <v>63</v>
      </c>
      <c r="E49" s="39" t="s">
        <v>8</v>
      </c>
      <c r="F49" s="39" t="s">
        <v>64</v>
      </c>
      <c r="G49" s="39" t="s">
        <v>773</v>
      </c>
      <c r="H49" s="39" t="s">
        <v>773</v>
      </c>
      <c r="I49" s="40">
        <v>20.352</v>
      </c>
      <c r="L49" s="39" t="s">
        <v>102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400.0</v>
      </c>
      <c r="AE49" s="39">
        <v>1.0</v>
      </c>
    </row>
    <row r="50">
      <c r="A50" s="20" t="s">
        <v>774</v>
      </c>
      <c r="D50" s="39" t="s">
        <v>63</v>
      </c>
      <c r="E50" s="39" t="s">
        <v>8</v>
      </c>
      <c r="F50" s="39" t="s">
        <v>64</v>
      </c>
      <c r="G50" s="39" t="s">
        <v>775</v>
      </c>
      <c r="H50" s="39" t="s">
        <v>775</v>
      </c>
      <c r="I50" s="40">
        <v>20.754</v>
      </c>
      <c r="L50" s="39" t="s">
        <v>102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400.0</v>
      </c>
      <c r="AE50" s="39">
        <v>1.0</v>
      </c>
    </row>
    <row r="51">
      <c r="A51" s="20" t="s">
        <v>776</v>
      </c>
      <c r="D51" s="39" t="s">
        <v>63</v>
      </c>
      <c r="E51" s="39" t="s">
        <v>8</v>
      </c>
      <c r="F51" s="39" t="s">
        <v>64</v>
      </c>
      <c r="G51" s="39" t="s">
        <v>777</v>
      </c>
      <c r="H51" s="39" t="s">
        <v>777</v>
      </c>
      <c r="I51" s="40">
        <v>21.179</v>
      </c>
      <c r="L51" s="39" t="s">
        <v>102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400.0</v>
      </c>
      <c r="AE51" s="39">
        <v>1.0</v>
      </c>
    </row>
    <row r="52">
      <c r="A52" s="20" t="s">
        <v>778</v>
      </c>
      <c r="D52" s="39" t="s">
        <v>63</v>
      </c>
      <c r="E52" s="39" t="s">
        <v>8</v>
      </c>
      <c r="F52" s="39" t="s">
        <v>64</v>
      </c>
      <c r="G52" s="39" t="s">
        <v>779</v>
      </c>
      <c r="H52" s="39" t="s">
        <v>779</v>
      </c>
      <c r="I52" s="40">
        <v>21.632</v>
      </c>
      <c r="L52" s="39" t="s">
        <v>102</v>
      </c>
      <c r="N52" s="39" t="s">
        <v>67</v>
      </c>
      <c r="O52" s="39" t="s">
        <v>67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300.0</v>
      </c>
      <c r="AE52" s="39">
        <v>1.0</v>
      </c>
    </row>
    <row r="53">
      <c r="A53" s="20" t="s">
        <v>780</v>
      </c>
      <c r="D53" s="39" t="s">
        <v>63</v>
      </c>
      <c r="E53" s="39" t="s">
        <v>8</v>
      </c>
      <c r="F53" s="39" t="s">
        <v>64</v>
      </c>
      <c r="G53" s="39" t="s">
        <v>781</v>
      </c>
      <c r="H53" s="39" t="s">
        <v>781</v>
      </c>
      <c r="I53" s="40">
        <v>22.028</v>
      </c>
      <c r="L53" s="39" t="s">
        <v>102</v>
      </c>
      <c r="N53" s="39" t="s">
        <v>67</v>
      </c>
      <c r="O53" s="39" t="s">
        <v>67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C53" s="39">
        <v>300.0</v>
      </c>
      <c r="AE53" s="39">
        <v>1.0</v>
      </c>
    </row>
    <row r="54">
      <c r="A54" s="20" t="s">
        <v>782</v>
      </c>
      <c r="B54" s="39" t="s">
        <v>215</v>
      </c>
      <c r="C54" s="39" t="s">
        <v>216</v>
      </c>
      <c r="D54" s="39" t="s">
        <v>63</v>
      </c>
      <c r="E54" s="39" t="s">
        <v>8</v>
      </c>
      <c r="F54" s="39" t="s">
        <v>64</v>
      </c>
      <c r="G54" s="39" t="s">
        <v>783</v>
      </c>
      <c r="H54" s="39" t="s">
        <v>783</v>
      </c>
      <c r="I54" s="40">
        <v>22.465</v>
      </c>
      <c r="L54" s="39" t="s">
        <v>66</v>
      </c>
      <c r="N54" s="39" t="s">
        <v>67</v>
      </c>
      <c r="O54" s="39" t="s">
        <v>67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300.0</v>
      </c>
      <c r="AE54" s="39">
        <v>1.0</v>
      </c>
    </row>
    <row r="55">
      <c r="A55" s="20" t="s">
        <v>784</v>
      </c>
      <c r="B55" s="39" t="s">
        <v>215</v>
      </c>
      <c r="C55" s="39" t="s">
        <v>216</v>
      </c>
      <c r="D55" s="39" t="s">
        <v>63</v>
      </c>
      <c r="E55" s="39" t="s">
        <v>8</v>
      </c>
      <c r="F55" s="39" t="s">
        <v>64</v>
      </c>
      <c r="G55" s="39" t="s">
        <v>785</v>
      </c>
      <c r="H55" s="39" t="s">
        <v>785</v>
      </c>
      <c r="I55" s="40">
        <v>23.159</v>
      </c>
      <c r="L55" s="39" t="s">
        <v>66</v>
      </c>
      <c r="N55" s="39" t="s">
        <v>67</v>
      </c>
      <c r="O55" s="39" t="s">
        <v>67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200.0</v>
      </c>
      <c r="AE55" s="39">
        <v>1.0</v>
      </c>
    </row>
    <row r="56">
      <c r="A56" s="20" t="s">
        <v>786</v>
      </c>
      <c r="D56" s="39" t="s">
        <v>63</v>
      </c>
      <c r="E56" s="39" t="s">
        <v>8</v>
      </c>
      <c r="F56" s="39" t="s">
        <v>64</v>
      </c>
      <c r="G56" s="39" t="s">
        <v>787</v>
      </c>
      <c r="H56" s="39" t="s">
        <v>787</v>
      </c>
      <c r="I56" s="40">
        <v>23.808</v>
      </c>
      <c r="L56" s="39" t="s">
        <v>102</v>
      </c>
      <c r="N56" s="39" t="s">
        <v>67</v>
      </c>
      <c r="O56" s="39" t="s">
        <v>68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500.0</v>
      </c>
      <c r="AE56" s="39">
        <v>1.0</v>
      </c>
    </row>
    <row r="57">
      <c r="A57" s="20" t="s">
        <v>788</v>
      </c>
      <c r="D57" s="39" t="s">
        <v>63</v>
      </c>
      <c r="E57" s="39" t="s">
        <v>8</v>
      </c>
      <c r="F57" s="39" t="s">
        <v>64</v>
      </c>
      <c r="G57" s="39" t="s">
        <v>789</v>
      </c>
      <c r="H57" s="39" t="s">
        <v>789</v>
      </c>
      <c r="I57" s="40">
        <v>24.449</v>
      </c>
      <c r="L57" s="39" t="s">
        <v>102</v>
      </c>
      <c r="N57" s="39" t="s">
        <v>67</v>
      </c>
      <c r="O57" s="39" t="s">
        <v>81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400.0</v>
      </c>
      <c r="AE57" s="39">
        <v>1.0</v>
      </c>
    </row>
    <row r="58">
      <c r="A58" s="29" t="s">
        <v>790</v>
      </c>
      <c r="D58" s="39" t="s">
        <v>63</v>
      </c>
      <c r="E58" s="39" t="s">
        <v>8</v>
      </c>
      <c r="F58" s="39" t="s">
        <v>64</v>
      </c>
      <c r="G58" s="39" t="s">
        <v>791</v>
      </c>
      <c r="H58" s="39"/>
      <c r="L58" s="39" t="s">
        <v>111</v>
      </c>
      <c r="N58" s="39" t="s">
        <v>67</v>
      </c>
      <c r="O58" s="39" t="s">
        <v>81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200.0</v>
      </c>
      <c r="AE58" s="39"/>
    </row>
    <row r="59">
      <c r="A59" s="20" t="s">
        <v>792</v>
      </c>
      <c r="D59" s="39" t="s">
        <v>63</v>
      </c>
      <c r="E59" s="39" t="s">
        <v>8</v>
      </c>
      <c r="F59" s="39" t="s">
        <v>64</v>
      </c>
      <c r="G59" s="39" t="s">
        <v>793</v>
      </c>
      <c r="H59" s="39" t="s">
        <v>793</v>
      </c>
      <c r="I59" s="40">
        <v>24.997</v>
      </c>
      <c r="L59" s="39" t="s">
        <v>102</v>
      </c>
      <c r="N59" s="39" t="s">
        <v>67</v>
      </c>
      <c r="O59" s="39" t="s">
        <v>81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130.0</v>
      </c>
      <c r="AD59" s="39" t="s">
        <v>111</v>
      </c>
      <c r="AE59" s="39">
        <v>1.0</v>
      </c>
    </row>
    <row r="60">
      <c r="A60" s="20" t="s">
        <v>794</v>
      </c>
      <c r="D60" s="39" t="s">
        <v>63</v>
      </c>
      <c r="E60" s="39" t="s">
        <v>8</v>
      </c>
      <c r="F60" s="39" t="s">
        <v>64</v>
      </c>
      <c r="G60" s="39" t="s">
        <v>795</v>
      </c>
      <c r="H60" s="39" t="s">
        <v>795</v>
      </c>
      <c r="I60" s="40">
        <v>25.488</v>
      </c>
      <c r="L60" s="39" t="s">
        <v>102</v>
      </c>
      <c r="N60" s="39" t="s">
        <v>67</v>
      </c>
      <c r="O60" s="39" t="s">
        <v>81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400.0</v>
      </c>
      <c r="AE60" s="39">
        <v>1.0</v>
      </c>
    </row>
    <row r="61">
      <c r="A61" s="20" t="s">
        <v>796</v>
      </c>
      <c r="D61" s="39" t="s">
        <v>63</v>
      </c>
      <c r="E61" s="39" t="s">
        <v>8</v>
      </c>
      <c r="F61" s="39" t="s">
        <v>64</v>
      </c>
      <c r="G61" s="39" t="s">
        <v>797</v>
      </c>
      <c r="H61" s="39" t="s">
        <v>797</v>
      </c>
      <c r="I61" s="40">
        <v>26.045</v>
      </c>
      <c r="L61" s="39" t="s">
        <v>102</v>
      </c>
      <c r="N61" s="39" t="s">
        <v>67</v>
      </c>
      <c r="O61" s="39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400.0</v>
      </c>
      <c r="AE61" s="39">
        <v>1.0</v>
      </c>
    </row>
    <row r="62">
      <c r="A62" s="20" t="s">
        <v>798</v>
      </c>
      <c r="B62" s="39" t="s">
        <v>236</v>
      </c>
      <c r="C62" s="39" t="s">
        <v>237</v>
      </c>
      <c r="D62" s="39" t="s">
        <v>63</v>
      </c>
      <c r="E62" s="39" t="s">
        <v>8</v>
      </c>
      <c r="F62" s="39" t="s">
        <v>64</v>
      </c>
      <c r="G62" s="39" t="s">
        <v>799</v>
      </c>
      <c r="H62" s="39" t="s">
        <v>799</v>
      </c>
      <c r="I62" s="40">
        <v>26.478</v>
      </c>
      <c r="L62" s="39" t="s">
        <v>66</v>
      </c>
      <c r="N62" s="39" t="s">
        <v>67</v>
      </c>
      <c r="O62" s="39" t="s">
        <v>67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400.0</v>
      </c>
      <c r="AE62" s="39">
        <v>1.0</v>
      </c>
    </row>
    <row r="63">
      <c r="A63" s="20" t="s">
        <v>800</v>
      </c>
      <c r="B63" s="39" t="s">
        <v>236</v>
      </c>
      <c r="C63" s="39" t="s">
        <v>237</v>
      </c>
      <c r="D63" s="39" t="s">
        <v>63</v>
      </c>
      <c r="E63" s="39" t="s">
        <v>8</v>
      </c>
      <c r="F63" s="39" t="s">
        <v>64</v>
      </c>
      <c r="G63" s="39" t="s">
        <v>801</v>
      </c>
      <c r="H63" s="39" t="s">
        <v>801</v>
      </c>
      <c r="I63" s="40">
        <v>26.897</v>
      </c>
      <c r="L63" s="39" t="s">
        <v>66</v>
      </c>
      <c r="N63" s="39" t="s">
        <v>67</v>
      </c>
      <c r="O63" s="39" t="s">
        <v>68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1.0</v>
      </c>
      <c r="W63" s="39">
        <v>0.0</v>
      </c>
      <c r="X63" s="39">
        <v>0.0</v>
      </c>
      <c r="Y63" s="39">
        <v>1.0</v>
      </c>
      <c r="Z63" s="30" t="s">
        <v>802</v>
      </c>
      <c r="AA63" s="30" t="s">
        <v>97</v>
      </c>
      <c r="AC63" s="39">
        <v>400.0</v>
      </c>
      <c r="AE63" s="39">
        <v>1.0</v>
      </c>
    </row>
    <row r="64">
      <c r="A64" s="20" t="s">
        <v>803</v>
      </c>
      <c r="D64" s="39" t="s">
        <v>63</v>
      </c>
      <c r="E64" s="39" t="s">
        <v>8</v>
      </c>
      <c r="F64" s="39" t="s">
        <v>64</v>
      </c>
      <c r="G64" s="39" t="s">
        <v>804</v>
      </c>
      <c r="H64" s="39" t="s">
        <v>804</v>
      </c>
      <c r="I64" s="40">
        <v>27.333</v>
      </c>
      <c r="L64" s="39" t="s">
        <v>102</v>
      </c>
      <c r="N64" s="39" t="s">
        <v>67</v>
      </c>
      <c r="O64" s="39" t="s">
        <v>68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AC64" s="39">
        <v>300.0</v>
      </c>
      <c r="AE64" s="39">
        <v>1.0</v>
      </c>
    </row>
    <row r="65">
      <c r="A65" s="20" t="s">
        <v>805</v>
      </c>
      <c r="D65" s="39" t="s">
        <v>63</v>
      </c>
      <c r="E65" s="39" t="s">
        <v>8</v>
      </c>
      <c r="F65" s="39" t="s">
        <v>64</v>
      </c>
      <c r="G65" s="39" t="s">
        <v>806</v>
      </c>
      <c r="H65" s="39" t="s">
        <v>806</v>
      </c>
      <c r="I65" s="40">
        <v>27.717</v>
      </c>
      <c r="L65" s="39" t="s">
        <v>102</v>
      </c>
      <c r="N65" s="39" t="s">
        <v>67</v>
      </c>
      <c r="O65" s="39" t="s">
        <v>68</v>
      </c>
      <c r="Q65" s="39">
        <v>0.0</v>
      </c>
      <c r="R65" s="39">
        <v>0.0</v>
      </c>
      <c r="S65" s="39">
        <v>1.0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AC65" s="39">
        <v>500.0</v>
      </c>
      <c r="AE65" s="39">
        <v>1.0</v>
      </c>
    </row>
    <row r="66">
      <c r="A66" s="20" t="s">
        <v>807</v>
      </c>
      <c r="D66" s="39" t="s">
        <v>63</v>
      </c>
      <c r="E66" s="39" t="s">
        <v>8</v>
      </c>
      <c r="F66" s="39" t="s">
        <v>64</v>
      </c>
      <c r="G66" s="39" t="s">
        <v>808</v>
      </c>
      <c r="H66" s="39" t="s">
        <v>808</v>
      </c>
      <c r="I66" s="40">
        <v>28.111</v>
      </c>
      <c r="L66" s="39" t="s">
        <v>102</v>
      </c>
      <c r="N66" s="39" t="s">
        <v>67</v>
      </c>
      <c r="O66" s="39" t="s">
        <v>67</v>
      </c>
      <c r="Q66" s="39">
        <v>0.0</v>
      </c>
      <c r="R66" s="39">
        <v>0.0</v>
      </c>
      <c r="S66" s="39">
        <v>1.0</v>
      </c>
      <c r="T66" s="39">
        <v>0.0</v>
      </c>
      <c r="U66" s="39">
        <v>0.0</v>
      </c>
      <c r="V66" s="39">
        <v>0.0</v>
      </c>
      <c r="W66" s="39">
        <v>0.0</v>
      </c>
      <c r="X66" s="39">
        <v>0.0</v>
      </c>
      <c r="Y66" s="39">
        <v>0.0</v>
      </c>
      <c r="AC66" s="39">
        <v>200.0</v>
      </c>
      <c r="AE66" s="39">
        <v>1.0</v>
      </c>
    </row>
    <row r="67">
      <c r="A67" s="20" t="s">
        <v>809</v>
      </c>
      <c r="D67" s="39" t="s">
        <v>63</v>
      </c>
      <c r="E67" s="39" t="s">
        <v>8</v>
      </c>
      <c r="F67" s="39" t="s">
        <v>64</v>
      </c>
      <c r="G67" s="39" t="s">
        <v>810</v>
      </c>
      <c r="H67" s="39" t="s">
        <v>810</v>
      </c>
      <c r="I67" s="40">
        <v>28.6</v>
      </c>
      <c r="L67" s="39" t="s">
        <v>102</v>
      </c>
      <c r="N67" s="39" t="s">
        <v>67</v>
      </c>
      <c r="O67" s="39" t="s">
        <v>67</v>
      </c>
      <c r="Q67" s="39">
        <v>0.0</v>
      </c>
      <c r="R67" s="39">
        <v>0.0</v>
      </c>
      <c r="S67" s="39">
        <v>1.0</v>
      </c>
      <c r="T67" s="39">
        <v>0.0</v>
      </c>
      <c r="U67" s="39">
        <v>0.0</v>
      </c>
      <c r="V67" s="39">
        <v>0.0</v>
      </c>
      <c r="W67" s="39">
        <v>0.0</v>
      </c>
      <c r="X67" s="39">
        <v>0.0</v>
      </c>
      <c r="Y67" s="39">
        <v>0.0</v>
      </c>
      <c r="AC67" s="39">
        <v>300.0</v>
      </c>
      <c r="AE67" s="39">
        <v>1.0</v>
      </c>
    </row>
    <row r="68">
      <c r="A68" s="20" t="s">
        <v>811</v>
      </c>
      <c r="D68" s="39" t="s">
        <v>63</v>
      </c>
      <c r="E68" s="39" t="s">
        <v>8</v>
      </c>
      <c r="F68" s="39" t="s">
        <v>64</v>
      </c>
      <c r="G68" s="39" t="s">
        <v>812</v>
      </c>
      <c r="H68" s="39" t="s">
        <v>812</v>
      </c>
      <c r="I68" s="40">
        <v>29.011</v>
      </c>
      <c r="L68" s="39" t="s">
        <v>102</v>
      </c>
      <c r="N68" s="39" t="s">
        <v>67</v>
      </c>
      <c r="O68" s="39" t="s">
        <v>67</v>
      </c>
      <c r="Q68" s="39">
        <v>0.0</v>
      </c>
      <c r="R68" s="39">
        <v>0.0</v>
      </c>
      <c r="S68" s="39">
        <v>1.0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AC68" s="39">
        <v>500.0</v>
      </c>
      <c r="AE68" s="39">
        <v>1.0</v>
      </c>
    </row>
    <row r="69">
      <c r="A69" s="20" t="s">
        <v>813</v>
      </c>
      <c r="D69" s="39" t="s">
        <v>63</v>
      </c>
      <c r="E69" s="39" t="s">
        <v>8</v>
      </c>
      <c r="F69" s="39" t="s">
        <v>64</v>
      </c>
      <c r="G69" s="39" t="s">
        <v>814</v>
      </c>
      <c r="H69" s="39" t="s">
        <v>814</v>
      </c>
      <c r="I69" s="40">
        <v>29.421</v>
      </c>
      <c r="L69" s="39" t="s">
        <v>102</v>
      </c>
      <c r="N69" s="39" t="s">
        <v>67</v>
      </c>
      <c r="O69" s="39" t="s">
        <v>68</v>
      </c>
      <c r="Q69" s="39">
        <v>0.0</v>
      </c>
      <c r="R69" s="39">
        <v>0.0</v>
      </c>
      <c r="S69" s="39">
        <v>1.0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AC69" s="39">
        <v>400.0</v>
      </c>
      <c r="AE69" s="39">
        <v>1.0</v>
      </c>
    </row>
    <row r="70">
      <c r="A70" s="20" t="s">
        <v>815</v>
      </c>
      <c r="D70" s="39" t="s">
        <v>63</v>
      </c>
      <c r="E70" s="39" t="s">
        <v>8</v>
      </c>
      <c r="F70" s="39" t="s">
        <v>64</v>
      </c>
      <c r="G70" s="39" t="s">
        <v>816</v>
      </c>
      <c r="H70" s="39" t="s">
        <v>816</v>
      </c>
      <c r="I70" s="40">
        <v>29.893</v>
      </c>
      <c r="L70" s="39" t="s">
        <v>102</v>
      </c>
      <c r="N70" s="39" t="s">
        <v>67</v>
      </c>
      <c r="O70" s="39" t="s">
        <v>81</v>
      </c>
      <c r="Q70" s="39">
        <v>0.0</v>
      </c>
      <c r="R70" s="39">
        <v>0.0</v>
      </c>
      <c r="S70" s="39">
        <v>1.0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AC70" s="39">
        <v>400.0</v>
      </c>
      <c r="AE70" s="39">
        <v>1.0</v>
      </c>
    </row>
    <row r="71">
      <c r="A71" s="20" t="s">
        <v>817</v>
      </c>
      <c r="B71" s="39" t="s">
        <v>252</v>
      </c>
      <c r="C71" s="39" t="s">
        <v>253</v>
      </c>
      <c r="D71" s="39" t="s">
        <v>63</v>
      </c>
      <c r="E71" s="39" t="s">
        <v>8</v>
      </c>
      <c r="F71" s="39" t="s">
        <v>64</v>
      </c>
      <c r="G71" s="39" t="s">
        <v>818</v>
      </c>
      <c r="H71" s="39" t="s">
        <v>818</v>
      </c>
      <c r="I71" s="40">
        <v>30.293</v>
      </c>
      <c r="L71" s="39" t="s">
        <v>66</v>
      </c>
      <c r="N71" s="39" t="s">
        <v>67</v>
      </c>
      <c r="O71" s="39" t="s">
        <v>81</v>
      </c>
      <c r="Q71" s="39">
        <v>0.0</v>
      </c>
      <c r="R71" s="39">
        <v>0.0</v>
      </c>
      <c r="S71" s="39">
        <v>1.0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AC71" s="39">
        <v>300.0</v>
      </c>
      <c r="AE71" s="39">
        <v>1.0</v>
      </c>
    </row>
    <row r="72">
      <c r="A72" s="20" t="s">
        <v>819</v>
      </c>
      <c r="B72" s="39" t="s">
        <v>252</v>
      </c>
      <c r="C72" s="39" t="s">
        <v>253</v>
      </c>
      <c r="D72" s="39" t="s">
        <v>63</v>
      </c>
      <c r="E72" s="39" t="s">
        <v>8</v>
      </c>
      <c r="F72" s="39" t="s">
        <v>64</v>
      </c>
      <c r="G72" s="39" t="s">
        <v>820</v>
      </c>
      <c r="H72" s="39" t="s">
        <v>820</v>
      </c>
      <c r="I72" s="40">
        <v>30.762</v>
      </c>
      <c r="L72" s="39" t="s">
        <v>66</v>
      </c>
      <c r="N72" s="39" t="s">
        <v>67</v>
      </c>
      <c r="O72" s="39" t="s">
        <v>81</v>
      </c>
      <c r="Q72" s="39">
        <v>0.0</v>
      </c>
      <c r="R72" s="39">
        <v>0.0</v>
      </c>
      <c r="S72" s="39">
        <v>1.0</v>
      </c>
      <c r="T72" s="39">
        <v>0.0</v>
      </c>
      <c r="U72" s="39">
        <v>0.0</v>
      </c>
      <c r="V72" s="39">
        <v>1.0</v>
      </c>
      <c r="W72" s="39">
        <v>0.0</v>
      </c>
      <c r="X72" s="39">
        <v>0.0</v>
      </c>
      <c r="Y72" s="39">
        <v>1.0</v>
      </c>
      <c r="Z72" s="30" t="s">
        <v>698</v>
      </c>
      <c r="AA72" s="30" t="s">
        <v>97</v>
      </c>
      <c r="AC72" s="39">
        <v>250.0</v>
      </c>
      <c r="AE72" s="39">
        <v>1.0</v>
      </c>
    </row>
    <row r="73">
      <c r="A73" s="20" t="s">
        <v>821</v>
      </c>
      <c r="D73" s="39" t="s">
        <v>63</v>
      </c>
      <c r="E73" s="39" t="s">
        <v>8</v>
      </c>
      <c r="F73" s="39" t="s">
        <v>64</v>
      </c>
      <c r="G73" s="39" t="s">
        <v>822</v>
      </c>
      <c r="H73" s="39" t="s">
        <v>822</v>
      </c>
      <c r="I73" s="40">
        <v>31.222</v>
      </c>
      <c r="L73" s="39" t="s">
        <v>102</v>
      </c>
      <c r="N73" s="39" t="s">
        <v>67</v>
      </c>
      <c r="O73" s="39" t="s">
        <v>68</v>
      </c>
      <c r="Q73" s="39">
        <v>0.0</v>
      </c>
      <c r="R73" s="39">
        <v>0.0</v>
      </c>
      <c r="S73" s="39">
        <v>1.0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AC73" s="39">
        <v>200.0</v>
      </c>
      <c r="AE73" s="39">
        <v>1.0</v>
      </c>
    </row>
    <row r="74">
      <c r="A74" s="20" t="s">
        <v>823</v>
      </c>
      <c r="D74" s="39" t="s">
        <v>63</v>
      </c>
      <c r="E74" s="39" t="s">
        <v>8</v>
      </c>
      <c r="F74" s="39" t="s">
        <v>64</v>
      </c>
      <c r="G74" s="39" t="s">
        <v>824</v>
      </c>
      <c r="H74" s="39" t="s">
        <v>824</v>
      </c>
      <c r="I74" s="40">
        <v>31.592</v>
      </c>
      <c r="L74" s="39" t="s">
        <v>102</v>
      </c>
      <c r="N74" s="39" t="s">
        <v>67</v>
      </c>
      <c r="O74" s="39" t="s">
        <v>68</v>
      </c>
      <c r="Q74" s="39">
        <v>0.0</v>
      </c>
      <c r="R74" s="39">
        <v>0.0</v>
      </c>
      <c r="S74" s="39">
        <v>1.0</v>
      </c>
      <c r="T74" s="39">
        <v>0.0</v>
      </c>
      <c r="U74" s="39">
        <v>0.0</v>
      </c>
      <c r="V74" s="39">
        <v>0.0</v>
      </c>
      <c r="W74" s="39">
        <v>0.0</v>
      </c>
      <c r="X74" s="39">
        <v>0.0</v>
      </c>
      <c r="Y74" s="39">
        <v>0.0</v>
      </c>
      <c r="AC74" s="39">
        <v>500.0</v>
      </c>
      <c r="AE74" s="39">
        <v>1.0</v>
      </c>
    </row>
    <row r="75">
      <c r="A75" s="20" t="s">
        <v>825</v>
      </c>
      <c r="B75" s="39" t="s">
        <v>262</v>
      </c>
      <c r="C75" s="39" t="s">
        <v>263</v>
      </c>
      <c r="D75" s="39" t="s">
        <v>63</v>
      </c>
      <c r="E75" s="39" t="s">
        <v>8</v>
      </c>
      <c r="F75" s="39" t="s">
        <v>64</v>
      </c>
      <c r="G75" s="39" t="s">
        <v>826</v>
      </c>
      <c r="H75" s="39" t="s">
        <v>826</v>
      </c>
      <c r="I75" s="40">
        <v>31.999</v>
      </c>
      <c r="L75" s="39" t="s">
        <v>66</v>
      </c>
      <c r="N75" s="39" t="s">
        <v>67</v>
      </c>
      <c r="O75" s="39" t="s">
        <v>68</v>
      </c>
      <c r="Q75" s="39">
        <v>0.0</v>
      </c>
      <c r="R75" s="39">
        <v>0.0</v>
      </c>
      <c r="S75" s="39">
        <v>1.0</v>
      </c>
      <c r="T75" s="39">
        <v>0.0</v>
      </c>
      <c r="U75" s="39">
        <v>0.0</v>
      </c>
      <c r="V75" s="39">
        <v>1.0</v>
      </c>
      <c r="W75" s="39">
        <v>0.0</v>
      </c>
      <c r="X75" s="39">
        <v>1.0</v>
      </c>
      <c r="Y75" s="39">
        <v>0.0</v>
      </c>
      <c r="Z75" s="30" t="s">
        <v>827</v>
      </c>
      <c r="AA75" s="30" t="s">
        <v>115</v>
      </c>
      <c r="AC75" s="39">
        <v>600.0</v>
      </c>
      <c r="AE75" s="39">
        <v>1.0</v>
      </c>
    </row>
    <row r="76">
      <c r="A76" s="20" t="s">
        <v>828</v>
      </c>
      <c r="B76" s="39" t="s">
        <v>262</v>
      </c>
      <c r="C76" s="39" t="s">
        <v>263</v>
      </c>
      <c r="D76" s="39" t="s">
        <v>63</v>
      </c>
      <c r="E76" s="39" t="s">
        <v>8</v>
      </c>
      <c r="F76" s="39" t="s">
        <v>64</v>
      </c>
      <c r="G76" s="39" t="s">
        <v>829</v>
      </c>
      <c r="H76" s="39" t="s">
        <v>829</v>
      </c>
      <c r="I76" s="40">
        <v>32.633</v>
      </c>
      <c r="L76" s="39" t="s">
        <v>66</v>
      </c>
      <c r="N76" s="39" t="s">
        <v>81</v>
      </c>
      <c r="O76" s="39" t="s">
        <v>81</v>
      </c>
      <c r="Q76" s="39">
        <v>1.0</v>
      </c>
      <c r="R76" s="39">
        <v>0.0</v>
      </c>
      <c r="S76" s="39">
        <v>0.0</v>
      </c>
      <c r="T76" s="39">
        <v>0.0</v>
      </c>
      <c r="U76" s="39">
        <v>0.0</v>
      </c>
      <c r="V76" s="39">
        <v>1.0</v>
      </c>
      <c r="W76" s="39">
        <v>0.0</v>
      </c>
      <c r="X76" s="39">
        <v>1.0</v>
      </c>
      <c r="Y76" s="39">
        <v>1.0</v>
      </c>
      <c r="Z76" s="30" t="s">
        <v>830</v>
      </c>
      <c r="AA76" s="30" t="s">
        <v>411</v>
      </c>
      <c r="AC76" s="39">
        <v>300.0</v>
      </c>
      <c r="AE76" s="39">
        <v>1.0</v>
      </c>
    </row>
    <row r="77">
      <c r="A77" s="20" t="s">
        <v>831</v>
      </c>
      <c r="B77" s="39" t="s">
        <v>262</v>
      </c>
      <c r="C77" s="39" t="s">
        <v>263</v>
      </c>
      <c r="D77" s="39" t="s">
        <v>63</v>
      </c>
      <c r="E77" s="39" t="s">
        <v>8</v>
      </c>
      <c r="F77" s="39" t="s">
        <v>64</v>
      </c>
      <c r="G77" s="39" t="s">
        <v>832</v>
      </c>
      <c r="H77" s="39" t="s">
        <v>832</v>
      </c>
      <c r="I77" s="40">
        <v>33.077</v>
      </c>
      <c r="L77" s="39" t="s">
        <v>66</v>
      </c>
      <c r="N77" s="39" t="s">
        <v>67</v>
      </c>
      <c r="O77" s="39" t="s">
        <v>68</v>
      </c>
      <c r="Q77" s="39">
        <v>0.0</v>
      </c>
      <c r="R77" s="39">
        <v>0.0</v>
      </c>
      <c r="S77" s="39">
        <v>1.0</v>
      </c>
      <c r="T77" s="39">
        <v>0.0</v>
      </c>
      <c r="U77" s="39">
        <v>0.0</v>
      </c>
      <c r="V77" s="39">
        <v>0.0</v>
      </c>
      <c r="W77" s="39">
        <v>0.0</v>
      </c>
      <c r="X77" s="39">
        <v>0.0</v>
      </c>
      <c r="Y77" s="39">
        <v>0.0</v>
      </c>
      <c r="AC77" s="39">
        <v>300.0</v>
      </c>
      <c r="AE77" s="39">
        <v>1.0</v>
      </c>
    </row>
    <row r="78">
      <c r="A78" s="20" t="s">
        <v>833</v>
      </c>
      <c r="B78" s="39" t="s">
        <v>262</v>
      </c>
      <c r="C78" s="39" t="s">
        <v>263</v>
      </c>
      <c r="D78" s="39" t="s">
        <v>63</v>
      </c>
      <c r="E78" s="39" t="s">
        <v>8</v>
      </c>
      <c r="F78" s="39" t="s">
        <v>64</v>
      </c>
      <c r="G78" s="39" t="s">
        <v>662</v>
      </c>
      <c r="I78" s="40">
        <v>33.487</v>
      </c>
      <c r="L78" s="39" t="s">
        <v>66</v>
      </c>
      <c r="N78" s="39" t="s">
        <v>67</v>
      </c>
      <c r="O78" s="39" t="s">
        <v>68</v>
      </c>
      <c r="Q78" s="39">
        <v>0.0</v>
      </c>
      <c r="R78" s="39">
        <v>0.0</v>
      </c>
      <c r="S78" s="39">
        <v>1.0</v>
      </c>
      <c r="T78" s="39">
        <v>0.0</v>
      </c>
      <c r="U78" s="39">
        <v>0.0</v>
      </c>
      <c r="V78" s="39">
        <v>0.0</v>
      </c>
      <c r="W78" s="39">
        <v>1.0</v>
      </c>
      <c r="X78" s="39">
        <v>0.0</v>
      </c>
      <c r="Y78" s="39">
        <v>0.0</v>
      </c>
      <c r="AC78" s="39">
        <v>200.0</v>
      </c>
      <c r="AE78" s="39">
        <v>1.0</v>
      </c>
    </row>
    <row r="79">
      <c r="A79" s="20" t="s">
        <v>834</v>
      </c>
      <c r="B79" s="39" t="s">
        <v>262</v>
      </c>
      <c r="C79" s="39" t="s">
        <v>263</v>
      </c>
      <c r="D79" s="39" t="s">
        <v>63</v>
      </c>
      <c r="E79" s="39" t="s">
        <v>8</v>
      </c>
      <c r="F79" s="39" t="s">
        <v>64</v>
      </c>
      <c r="G79" s="39" t="s">
        <v>835</v>
      </c>
      <c r="H79" s="39" t="s">
        <v>835</v>
      </c>
      <c r="I79" s="40">
        <v>33.895</v>
      </c>
      <c r="L79" s="39" t="s">
        <v>66</v>
      </c>
      <c r="N79" s="39" t="s">
        <v>67</v>
      </c>
      <c r="O79" s="39" t="s">
        <v>68</v>
      </c>
      <c r="Q79" s="39">
        <v>0.0</v>
      </c>
      <c r="R79" s="39">
        <v>0.0</v>
      </c>
      <c r="S79" s="39">
        <v>1.0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AC79" s="39">
        <v>300.0</v>
      </c>
      <c r="AE79" s="39">
        <v>1.0</v>
      </c>
    </row>
    <row r="80">
      <c r="A80" s="20" t="s">
        <v>836</v>
      </c>
      <c r="D80" s="39" t="s">
        <v>63</v>
      </c>
      <c r="E80" s="39" t="s">
        <v>8</v>
      </c>
      <c r="F80" s="39" t="s">
        <v>64</v>
      </c>
      <c r="G80" s="39" t="s">
        <v>837</v>
      </c>
      <c r="H80" s="39" t="s">
        <v>837</v>
      </c>
      <c r="I80" s="40">
        <v>34.376</v>
      </c>
      <c r="L80" s="39" t="s">
        <v>102</v>
      </c>
      <c r="N80" s="39" t="s">
        <v>67</v>
      </c>
      <c r="O80" s="39" t="s">
        <v>68</v>
      </c>
      <c r="Q80" s="39">
        <v>0.0</v>
      </c>
      <c r="R80" s="39">
        <v>0.0</v>
      </c>
      <c r="S80" s="39">
        <v>1.0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AC80" s="39">
        <v>400.0</v>
      </c>
      <c r="AE80" s="39">
        <v>1.0</v>
      </c>
    </row>
    <row r="81">
      <c r="A81" s="20" t="s">
        <v>838</v>
      </c>
      <c r="B81" s="39" t="s">
        <v>839</v>
      </c>
      <c r="C81" s="39" t="s">
        <v>840</v>
      </c>
      <c r="D81" s="39" t="s">
        <v>63</v>
      </c>
      <c r="E81" s="39" t="s">
        <v>8</v>
      </c>
      <c r="F81" s="39" t="s">
        <v>64</v>
      </c>
      <c r="I81" s="40">
        <v>34.695</v>
      </c>
      <c r="L81" s="39" t="s">
        <v>66</v>
      </c>
      <c r="N81" s="39" t="s">
        <v>67</v>
      </c>
      <c r="O81" s="39" t="s">
        <v>67</v>
      </c>
      <c r="Q81" s="39">
        <v>0.0</v>
      </c>
      <c r="R81" s="39">
        <v>0.0</v>
      </c>
      <c r="S81" s="39">
        <v>1.0</v>
      </c>
      <c r="T81" s="39">
        <v>0.0</v>
      </c>
      <c r="U81" s="39">
        <v>0.0</v>
      </c>
      <c r="V81" s="39">
        <v>0.0</v>
      </c>
      <c r="W81" s="39">
        <v>1.0</v>
      </c>
      <c r="X81" s="39">
        <v>0.0</v>
      </c>
      <c r="Y81" s="39">
        <v>0.0</v>
      </c>
      <c r="AC81" s="39">
        <v>300.0</v>
      </c>
      <c r="AE81" s="39">
        <v>1.0</v>
      </c>
    </row>
    <row r="82">
      <c r="A82" s="20" t="s">
        <v>841</v>
      </c>
      <c r="D82" s="39" t="s">
        <v>63</v>
      </c>
      <c r="E82" s="39" t="s">
        <v>8</v>
      </c>
      <c r="F82" s="39" t="s">
        <v>64</v>
      </c>
      <c r="G82" s="39" t="s">
        <v>842</v>
      </c>
      <c r="H82" s="39" t="s">
        <v>842</v>
      </c>
      <c r="I82" s="40">
        <v>35.074</v>
      </c>
      <c r="L82" s="39" t="s">
        <v>102</v>
      </c>
      <c r="N82" s="39" t="s">
        <v>67</v>
      </c>
      <c r="O82" s="39" t="s">
        <v>67</v>
      </c>
      <c r="Q82" s="39">
        <v>0.0</v>
      </c>
      <c r="R82" s="39">
        <v>0.0</v>
      </c>
      <c r="S82" s="39">
        <v>1.0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AC82" s="39">
        <v>300.0</v>
      </c>
      <c r="AE82" s="39">
        <v>1.0</v>
      </c>
    </row>
    <row r="83">
      <c r="A83" s="20" t="s">
        <v>843</v>
      </c>
      <c r="D83" s="39" t="s">
        <v>63</v>
      </c>
      <c r="E83" s="39" t="s">
        <v>8</v>
      </c>
      <c r="F83" s="39" t="s">
        <v>64</v>
      </c>
      <c r="G83" s="39" t="s">
        <v>844</v>
      </c>
      <c r="H83" s="39" t="s">
        <v>844</v>
      </c>
      <c r="I83" s="40">
        <v>35.523</v>
      </c>
      <c r="L83" s="39" t="s">
        <v>102</v>
      </c>
      <c r="N83" s="39" t="s">
        <v>67</v>
      </c>
      <c r="O83" s="39" t="s">
        <v>68</v>
      </c>
      <c r="Q83" s="39">
        <v>0.0</v>
      </c>
      <c r="R83" s="39">
        <v>0.0</v>
      </c>
      <c r="S83" s="39">
        <v>1.0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AC83" s="39">
        <v>300.0</v>
      </c>
      <c r="AE83" s="39">
        <v>1.0</v>
      </c>
    </row>
    <row r="84">
      <c r="A84" s="20" t="s">
        <v>845</v>
      </c>
      <c r="D84" s="39" t="s">
        <v>63</v>
      </c>
      <c r="E84" s="39" t="s">
        <v>8</v>
      </c>
      <c r="F84" s="39" t="s">
        <v>64</v>
      </c>
      <c r="G84" s="39" t="s">
        <v>846</v>
      </c>
      <c r="H84" s="39" t="s">
        <v>846</v>
      </c>
      <c r="I84" s="40">
        <v>35.934</v>
      </c>
      <c r="L84" s="39" t="s">
        <v>102</v>
      </c>
      <c r="N84" s="39" t="s">
        <v>67</v>
      </c>
      <c r="O84" s="39" t="s">
        <v>68</v>
      </c>
      <c r="Q84" s="39">
        <v>0.0</v>
      </c>
      <c r="R84" s="39">
        <v>0.0</v>
      </c>
      <c r="S84" s="39">
        <v>1.0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AC84" s="39">
        <v>400.0</v>
      </c>
      <c r="AE84" s="39">
        <v>1.0</v>
      </c>
    </row>
    <row r="85">
      <c r="A85" s="20" t="s">
        <v>847</v>
      </c>
      <c r="B85" s="39" t="s">
        <v>839</v>
      </c>
      <c r="C85" s="39" t="s">
        <v>840</v>
      </c>
      <c r="D85" s="39" t="s">
        <v>63</v>
      </c>
      <c r="E85" s="39" t="s">
        <v>8</v>
      </c>
      <c r="F85" s="39" t="s">
        <v>64</v>
      </c>
      <c r="G85" s="39" t="s">
        <v>848</v>
      </c>
      <c r="H85" s="39" t="s">
        <v>848</v>
      </c>
      <c r="I85" s="40">
        <v>36.395</v>
      </c>
      <c r="L85" s="39" t="s">
        <v>66</v>
      </c>
      <c r="N85" s="39" t="s">
        <v>67</v>
      </c>
      <c r="O85" s="39" t="s">
        <v>68</v>
      </c>
      <c r="Q85" s="39">
        <v>0.0</v>
      </c>
      <c r="R85" s="39">
        <v>0.0</v>
      </c>
      <c r="S85" s="39">
        <v>1.0</v>
      </c>
      <c r="T85" s="39">
        <v>0.0</v>
      </c>
      <c r="U85" s="39">
        <v>0.0</v>
      </c>
      <c r="V85" s="39">
        <v>0.0</v>
      </c>
      <c r="W85" s="39">
        <v>0.0</v>
      </c>
      <c r="X85" s="39">
        <v>0.0</v>
      </c>
      <c r="Y85" s="39">
        <v>0.0</v>
      </c>
      <c r="AC85" s="39">
        <v>300.0</v>
      </c>
      <c r="AE85" s="39">
        <v>1.0</v>
      </c>
    </row>
    <row r="86">
      <c r="A86" s="20" t="s">
        <v>849</v>
      </c>
      <c r="B86" s="39" t="s">
        <v>839</v>
      </c>
      <c r="C86" s="39" t="s">
        <v>840</v>
      </c>
      <c r="D86" s="39" t="s">
        <v>63</v>
      </c>
      <c r="E86" s="39" t="s">
        <v>8</v>
      </c>
      <c r="F86" s="39" t="s">
        <v>64</v>
      </c>
      <c r="G86" s="39" t="s">
        <v>850</v>
      </c>
      <c r="H86" s="39" t="s">
        <v>850</v>
      </c>
      <c r="I86" s="40">
        <v>37.053</v>
      </c>
      <c r="L86" s="39" t="s">
        <v>66</v>
      </c>
      <c r="N86" s="39" t="s">
        <v>67</v>
      </c>
      <c r="O86" s="39" t="s">
        <v>68</v>
      </c>
      <c r="Q86" s="39">
        <v>0.0</v>
      </c>
      <c r="R86" s="39">
        <v>0.0</v>
      </c>
      <c r="S86" s="39">
        <v>1.0</v>
      </c>
      <c r="T86" s="39">
        <v>0.0</v>
      </c>
      <c r="U86" s="39">
        <v>0.0</v>
      </c>
      <c r="V86" s="39">
        <v>0.0</v>
      </c>
      <c r="W86" s="39">
        <v>0.0</v>
      </c>
      <c r="X86" s="39">
        <v>0.0</v>
      </c>
      <c r="Y86" s="39">
        <v>0.0</v>
      </c>
      <c r="AC86" s="39">
        <v>400.0</v>
      </c>
      <c r="AE86" s="39">
        <v>1.0</v>
      </c>
    </row>
    <row r="87">
      <c r="A87" s="20" t="s">
        <v>851</v>
      </c>
      <c r="D87" s="39" t="s">
        <v>63</v>
      </c>
      <c r="E87" s="39" t="s">
        <v>8</v>
      </c>
      <c r="F87" s="39" t="s">
        <v>64</v>
      </c>
      <c r="G87" s="39" t="s">
        <v>852</v>
      </c>
      <c r="H87" s="39" t="s">
        <v>852</v>
      </c>
      <c r="I87" s="40">
        <v>37.535</v>
      </c>
      <c r="L87" s="39" t="s">
        <v>102</v>
      </c>
      <c r="N87" s="39" t="s">
        <v>67</v>
      </c>
      <c r="O87" s="39" t="s">
        <v>81</v>
      </c>
      <c r="Q87" s="39">
        <v>0.0</v>
      </c>
      <c r="R87" s="39">
        <v>0.0</v>
      </c>
      <c r="S87" s="39">
        <v>1.0</v>
      </c>
      <c r="T87" s="39">
        <v>0.0</v>
      </c>
      <c r="U87" s="39">
        <v>0.0</v>
      </c>
      <c r="V87" s="39">
        <v>0.0</v>
      </c>
      <c r="W87" s="39">
        <v>0.0</v>
      </c>
      <c r="X87" s="39">
        <v>0.0</v>
      </c>
      <c r="Y87" s="39">
        <v>0.0</v>
      </c>
      <c r="AC87" s="39">
        <v>300.0</v>
      </c>
      <c r="AE87" s="39">
        <v>1.0</v>
      </c>
    </row>
    <row r="88">
      <c r="A88" s="20" t="s">
        <v>853</v>
      </c>
      <c r="D88" s="39" t="s">
        <v>63</v>
      </c>
      <c r="E88" s="39" t="s">
        <v>8</v>
      </c>
      <c r="F88" s="39" t="s">
        <v>64</v>
      </c>
      <c r="G88" s="39" t="s">
        <v>854</v>
      </c>
      <c r="H88" s="39" t="s">
        <v>854</v>
      </c>
      <c r="I88" s="40">
        <v>38.079</v>
      </c>
      <c r="L88" s="39" t="s">
        <v>102</v>
      </c>
      <c r="N88" s="39" t="s">
        <v>67</v>
      </c>
      <c r="O88" s="39" t="s">
        <v>81</v>
      </c>
      <c r="Q88" s="39">
        <v>0.0</v>
      </c>
      <c r="R88" s="39">
        <v>0.0</v>
      </c>
      <c r="S88" s="39">
        <v>1.0</v>
      </c>
      <c r="T88" s="39">
        <v>0.0</v>
      </c>
      <c r="U88" s="39">
        <v>0.0</v>
      </c>
      <c r="V88" s="39">
        <v>0.0</v>
      </c>
      <c r="W88" s="39">
        <v>0.0</v>
      </c>
      <c r="X88" s="39">
        <v>0.0</v>
      </c>
      <c r="Y88" s="39">
        <v>0.0</v>
      </c>
      <c r="AC88" s="39">
        <v>300.0</v>
      </c>
      <c r="AE88" s="39">
        <v>1.0</v>
      </c>
    </row>
    <row r="89">
      <c r="A89" s="20" t="s">
        <v>855</v>
      </c>
      <c r="D89" s="39" t="s">
        <v>63</v>
      </c>
      <c r="E89" s="39" t="s">
        <v>8</v>
      </c>
      <c r="F89" s="39" t="s">
        <v>64</v>
      </c>
      <c r="G89" s="39" t="s">
        <v>856</v>
      </c>
      <c r="H89" s="39" t="s">
        <v>856</v>
      </c>
      <c r="I89" s="40">
        <v>38.369</v>
      </c>
      <c r="L89" s="39" t="s">
        <v>102</v>
      </c>
      <c r="N89" s="39" t="s">
        <v>67</v>
      </c>
      <c r="O89" s="39" t="s">
        <v>81</v>
      </c>
      <c r="Q89" s="39">
        <v>0.0</v>
      </c>
      <c r="R89" s="39">
        <v>0.0</v>
      </c>
      <c r="S89" s="39">
        <v>1.0</v>
      </c>
      <c r="T89" s="39">
        <v>0.0</v>
      </c>
      <c r="U89" s="39">
        <v>0.0</v>
      </c>
      <c r="V89" s="39">
        <v>0.0</v>
      </c>
      <c r="W89" s="39">
        <v>0.0</v>
      </c>
      <c r="X89" s="39">
        <v>0.0</v>
      </c>
      <c r="Y89" s="39">
        <v>0.0</v>
      </c>
      <c r="AC89" s="39">
        <v>300.0</v>
      </c>
      <c r="AE89" s="39">
        <v>1.0</v>
      </c>
    </row>
    <row r="90">
      <c r="A90" s="20" t="s">
        <v>857</v>
      </c>
      <c r="D90" s="39" t="s">
        <v>63</v>
      </c>
      <c r="E90" s="39" t="s">
        <v>8</v>
      </c>
      <c r="F90" s="39" t="s">
        <v>64</v>
      </c>
      <c r="G90" s="39" t="s">
        <v>858</v>
      </c>
      <c r="H90" s="39" t="s">
        <v>858</v>
      </c>
      <c r="I90" s="40">
        <v>38.952</v>
      </c>
      <c r="L90" s="39" t="s">
        <v>102</v>
      </c>
      <c r="N90" s="39" t="s">
        <v>67</v>
      </c>
      <c r="O90" s="39" t="s">
        <v>81</v>
      </c>
      <c r="Q90" s="39">
        <v>0.0</v>
      </c>
      <c r="R90" s="39">
        <v>0.0</v>
      </c>
      <c r="S90" s="39">
        <v>1.0</v>
      </c>
      <c r="T90" s="39">
        <v>0.0</v>
      </c>
      <c r="U90" s="39">
        <v>0.0</v>
      </c>
      <c r="V90" s="39">
        <v>0.0</v>
      </c>
      <c r="W90" s="39">
        <v>0.0</v>
      </c>
      <c r="X90" s="39">
        <v>0.0</v>
      </c>
      <c r="Y90" s="39">
        <v>0.0</v>
      </c>
      <c r="AC90" s="39">
        <v>300.0</v>
      </c>
      <c r="AE90" s="39">
        <v>1.0</v>
      </c>
    </row>
    <row r="91">
      <c r="A91" s="20" t="s">
        <v>859</v>
      </c>
      <c r="D91" s="39" t="s">
        <v>63</v>
      </c>
      <c r="E91" s="39" t="s">
        <v>8</v>
      </c>
      <c r="F91" s="39" t="s">
        <v>64</v>
      </c>
      <c r="G91" s="39" t="s">
        <v>860</v>
      </c>
      <c r="H91" s="39" t="s">
        <v>860</v>
      </c>
      <c r="I91" s="40">
        <v>39.351</v>
      </c>
      <c r="L91" s="39" t="s">
        <v>102</v>
      </c>
      <c r="N91" s="39" t="s">
        <v>67</v>
      </c>
      <c r="O91" s="39" t="s">
        <v>81</v>
      </c>
      <c r="Q91" s="39">
        <v>0.0</v>
      </c>
      <c r="R91" s="39">
        <v>0.0</v>
      </c>
      <c r="S91" s="39">
        <v>1.0</v>
      </c>
      <c r="T91" s="39">
        <v>0.0</v>
      </c>
      <c r="U91" s="39">
        <v>0.0</v>
      </c>
      <c r="V91" s="39">
        <v>0.0</v>
      </c>
      <c r="W91" s="39">
        <v>0.0</v>
      </c>
      <c r="X91" s="39">
        <v>0.0</v>
      </c>
      <c r="Y91" s="39">
        <v>0.0</v>
      </c>
      <c r="AC91" s="39">
        <v>300.0</v>
      </c>
      <c r="AE91" s="39">
        <v>1.0</v>
      </c>
    </row>
    <row r="92">
      <c r="A92" s="20" t="s">
        <v>861</v>
      </c>
      <c r="D92" s="39" t="s">
        <v>63</v>
      </c>
      <c r="E92" s="39" t="s">
        <v>8</v>
      </c>
      <c r="F92" s="39" t="s">
        <v>64</v>
      </c>
      <c r="G92" s="39" t="s">
        <v>862</v>
      </c>
      <c r="H92" s="39" t="s">
        <v>862</v>
      </c>
      <c r="I92" s="40">
        <v>40.052</v>
      </c>
      <c r="L92" s="39" t="s">
        <v>102</v>
      </c>
      <c r="N92" s="39" t="s">
        <v>67</v>
      </c>
      <c r="O92" s="39" t="s">
        <v>67</v>
      </c>
      <c r="Q92" s="39">
        <v>0.0</v>
      </c>
      <c r="R92" s="39">
        <v>0.0</v>
      </c>
      <c r="S92" s="39">
        <v>1.0</v>
      </c>
      <c r="T92" s="39">
        <v>0.0</v>
      </c>
      <c r="U92" s="39">
        <v>0.0</v>
      </c>
      <c r="V92" s="39">
        <v>0.0</v>
      </c>
      <c r="W92" s="39">
        <v>0.0</v>
      </c>
      <c r="X92" s="39">
        <v>0.0</v>
      </c>
      <c r="Y92" s="39">
        <v>0.0</v>
      </c>
      <c r="AC92" s="39">
        <v>300.0</v>
      </c>
      <c r="AE92" s="39">
        <v>1.0</v>
      </c>
    </row>
    <row r="93">
      <c r="A93" s="29" t="s">
        <v>863</v>
      </c>
      <c r="D93" s="39" t="s">
        <v>63</v>
      </c>
      <c r="E93" s="39" t="s">
        <v>8</v>
      </c>
      <c r="F93" s="39" t="s">
        <v>64</v>
      </c>
      <c r="G93" s="39" t="s">
        <v>864</v>
      </c>
      <c r="L93" s="39" t="s">
        <v>111</v>
      </c>
      <c r="N93" s="39" t="s">
        <v>67</v>
      </c>
      <c r="O93" s="39" t="s">
        <v>67</v>
      </c>
      <c r="Q93" s="39">
        <v>0.0</v>
      </c>
      <c r="R93" s="39">
        <v>0.0</v>
      </c>
      <c r="S93" s="39">
        <v>1.0</v>
      </c>
      <c r="T93" s="39">
        <v>0.0</v>
      </c>
      <c r="U93" s="39">
        <v>0.0</v>
      </c>
      <c r="V93" s="39">
        <v>0.0</v>
      </c>
      <c r="W93" s="39">
        <v>0.0</v>
      </c>
      <c r="X93" s="39">
        <v>0.0</v>
      </c>
      <c r="Y93" s="39">
        <v>0.0</v>
      </c>
      <c r="AC93" s="39">
        <v>150.0</v>
      </c>
      <c r="AE93" s="39">
        <v>1.0</v>
      </c>
    </row>
    <row r="94">
      <c r="A94" s="20" t="s">
        <v>865</v>
      </c>
      <c r="D94" s="39" t="s">
        <v>63</v>
      </c>
      <c r="E94" s="39" t="s">
        <v>8</v>
      </c>
      <c r="F94" s="39" t="s">
        <v>64</v>
      </c>
      <c r="G94" s="39" t="s">
        <v>866</v>
      </c>
      <c r="H94" s="39" t="s">
        <v>866</v>
      </c>
      <c r="I94" s="40">
        <v>40.495</v>
      </c>
      <c r="L94" s="39" t="s">
        <v>102</v>
      </c>
      <c r="N94" s="39" t="s">
        <v>67</v>
      </c>
      <c r="O94" s="39" t="s">
        <v>67</v>
      </c>
      <c r="Q94" s="39">
        <v>0.0</v>
      </c>
      <c r="R94" s="39">
        <v>0.0</v>
      </c>
      <c r="S94" s="39">
        <v>1.0</v>
      </c>
      <c r="T94" s="39">
        <v>0.0</v>
      </c>
      <c r="U94" s="39">
        <v>0.0</v>
      </c>
      <c r="V94" s="39">
        <v>0.0</v>
      </c>
      <c r="W94" s="39">
        <v>0.0</v>
      </c>
      <c r="X94" s="39">
        <v>0.0</v>
      </c>
      <c r="Y94" s="39">
        <v>0.0</v>
      </c>
      <c r="AC94" s="39">
        <v>150.0</v>
      </c>
      <c r="AD94" s="39" t="s">
        <v>111</v>
      </c>
      <c r="AE94" s="39">
        <v>1.0</v>
      </c>
    </row>
    <row r="95">
      <c r="A95" s="20" t="s">
        <v>867</v>
      </c>
      <c r="D95" s="39" t="s">
        <v>63</v>
      </c>
      <c r="E95" s="39" t="s">
        <v>8</v>
      </c>
      <c r="F95" s="39" t="s">
        <v>64</v>
      </c>
      <c r="G95" s="39" t="s">
        <v>868</v>
      </c>
      <c r="H95" s="39" t="s">
        <v>868</v>
      </c>
      <c r="I95" s="40">
        <v>40.744</v>
      </c>
      <c r="L95" s="39" t="s">
        <v>102</v>
      </c>
      <c r="N95" s="39" t="s">
        <v>67</v>
      </c>
      <c r="O95" s="39" t="s">
        <v>67</v>
      </c>
      <c r="Q95" s="39">
        <v>0.0</v>
      </c>
      <c r="R95" s="39">
        <v>0.0</v>
      </c>
      <c r="S95" s="39">
        <v>1.0</v>
      </c>
      <c r="T95" s="39">
        <v>0.0</v>
      </c>
      <c r="U95" s="39">
        <v>0.0</v>
      </c>
      <c r="V95" s="39">
        <v>0.0</v>
      </c>
      <c r="W95" s="39">
        <v>0.0</v>
      </c>
      <c r="X95" s="39">
        <v>0.0</v>
      </c>
      <c r="Y95" s="39">
        <v>0.0</v>
      </c>
      <c r="AC95" s="39">
        <v>230.0</v>
      </c>
      <c r="AE95" s="39">
        <v>1.0</v>
      </c>
    </row>
    <row r="96">
      <c r="A96" s="20" t="s">
        <v>869</v>
      </c>
      <c r="D96" s="39" t="s">
        <v>63</v>
      </c>
      <c r="E96" s="39" t="s">
        <v>8</v>
      </c>
      <c r="F96" s="39" t="s">
        <v>64</v>
      </c>
      <c r="G96" s="39" t="s">
        <v>870</v>
      </c>
      <c r="H96" s="39" t="s">
        <v>870</v>
      </c>
      <c r="I96" s="40">
        <v>41.183</v>
      </c>
      <c r="L96" s="39" t="s">
        <v>102</v>
      </c>
      <c r="N96" s="39" t="s">
        <v>67</v>
      </c>
      <c r="O96" s="39" t="s">
        <v>67</v>
      </c>
      <c r="Q96" s="39">
        <v>0.0</v>
      </c>
      <c r="R96" s="39">
        <v>0.0</v>
      </c>
      <c r="S96" s="39">
        <v>1.0</v>
      </c>
      <c r="T96" s="39">
        <v>0.0</v>
      </c>
      <c r="U96" s="39">
        <v>0.0</v>
      </c>
      <c r="V96" s="39">
        <v>0.0</v>
      </c>
      <c r="W96" s="39">
        <v>0.0</v>
      </c>
      <c r="X96" s="39">
        <v>0.0</v>
      </c>
      <c r="Y96" s="39">
        <v>0.0</v>
      </c>
      <c r="AC96" s="39">
        <v>200.0</v>
      </c>
      <c r="AE96" s="39">
        <v>1.0</v>
      </c>
    </row>
    <row r="97">
      <c r="A97" s="20" t="s">
        <v>871</v>
      </c>
      <c r="B97" s="39" t="s">
        <v>872</v>
      </c>
      <c r="C97" s="39" t="s">
        <v>873</v>
      </c>
      <c r="D97" s="39" t="s">
        <v>63</v>
      </c>
      <c r="E97" s="39" t="s">
        <v>8</v>
      </c>
      <c r="F97" s="39" t="s">
        <v>64</v>
      </c>
      <c r="G97" s="39" t="s">
        <v>874</v>
      </c>
      <c r="H97" s="39" t="s">
        <v>874</v>
      </c>
      <c r="I97" s="40">
        <v>41.576</v>
      </c>
      <c r="L97" s="39" t="s">
        <v>66</v>
      </c>
      <c r="N97" s="39" t="s">
        <v>67</v>
      </c>
      <c r="O97" s="39" t="s">
        <v>67</v>
      </c>
      <c r="Q97" s="39">
        <v>0.0</v>
      </c>
      <c r="R97" s="39">
        <v>0.0</v>
      </c>
      <c r="S97" s="39">
        <v>1.0</v>
      </c>
      <c r="T97" s="39">
        <v>0.0</v>
      </c>
      <c r="U97" s="39">
        <v>0.0</v>
      </c>
      <c r="V97" s="39">
        <v>1.0</v>
      </c>
      <c r="W97" s="39">
        <v>0.0</v>
      </c>
      <c r="X97" s="39">
        <v>0.0</v>
      </c>
      <c r="Y97" s="39">
        <v>1.0</v>
      </c>
      <c r="Z97" s="30" t="s">
        <v>698</v>
      </c>
      <c r="AA97" s="30" t="s">
        <v>97</v>
      </c>
      <c r="AC97" s="39">
        <v>200.0</v>
      </c>
      <c r="AE97" s="39">
        <v>1.0</v>
      </c>
    </row>
    <row r="98">
      <c r="A98" s="20" t="s">
        <v>875</v>
      </c>
      <c r="B98" s="39" t="s">
        <v>872</v>
      </c>
      <c r="C98" s="39" t="s">
        <v>873</v>
      </c>
      <c r="D98" s="39" t="s">
        <v>63</v>
      </c>
      <c r="E98" s="39" t="s">
        <v>8</v>
      </c>
      <c r="F98" s="39" t="s">
        <v>64</v>
      </c>
      <c r="G98" s="39" t="s">
        <v>876</v>
      </c>
      <c r="H98" s="39" t="s">
        <v>876</v>
      </c>
      <c r="I98" s="40">
        <v>42.014</v>
      </c>
      <c r="L98" s="39" t="s">
        <v>66</v>
      </c>
      <c r="N98" s="39" t="s">
        <v>67</v>
      </c>
      <c r="O98" s="39" t="s">
        <v>68</v>
      </c>
      <c r="Q98" s="39">
        <v>0.0</v>
      </c>
      <c r="R98" s="39">
        <v>0.0</v>
      </c>
      <c r="S98" s="39">
        <v>1.0</v>
      </c>
      <c r="T98" s="39">
        <v>0.0</v>
      </c>
      <c r="U98" s="39">
        <v>0.0</v>
      </c>
      <c r="V98" s="39">
        <v>0.0</v>
      </c>
      <c r="W98" s="39">
        <v>0.0</v>
      </c>
      <c r="X98" s="39">
        <v>0.0</v>
      </c>
      <c r="Y98" s="39">
        <v>0.0</v>
      </c>
      <c r="AC98" s="39">
        <v>200.0</v>
      </c>
      <c r="AE98" s="39">
        <v>1.0</v>
      </c>
    </row>
    <row r="99">
      <c r="A99" s="20" t="s">
        <v>877</v>
      </c>
      <c r="B99" s="39" t="s">
        <v>872</v>
      </c>
      <c r="C99" s="39" t="s">
        <v>873</v>
      </c>
      <c r="D99" s="39" t="s">
        <v>63</v>
      </c>
      <c r="E99" s="39" t="s">
        <v>8</v>
      </c>
      <c r="F99" s="39" t="s">
        <v>64</v>
      </c>
      <c r="G99" s="39" t="s">
        <v>878</v>
      </c>
      <c r="H99" s="39" t="s">
        <v>878</v>
      </c>
      <c r="I99" s="40">
        <v>42.408</v>
      </c>
      <c r="L99" s="39" t="s">
        <v>66</v>
      </c>
      <c r="N99" s="39" t="s">
        <v>67</v>
      </c>
      <c r="O99" s="39" t="s">
        <v>68</v>
      </c>
      <c r="Q99" s="39">
        <v>0.0</v>
      </c>
      <c r="R99" s="39">
        <v>0.0</v>
      </c>
      <c r="S99" s="39">
        <v>1.0</v>
      </c>
      <c r="T99" s="39">
        <v>0.0</v>
      </c>
      <c r="U99" s="39">
        <v>0.0</v>
      </c>
      <c r="V99" s="39">
        <v>0.0</v>
      </c>
      <c r="W99" s="39">
        <v>0.0</v>
      </c>
      <c r="X99" s="39">
        <v>0.0</v>
      </c>
      <c r="Y99" s="39">
        <v>0.0</v>
      </c>
      <c r="AC99" s="39">
        <v>250.0</v>
      </c>
      <c r="AE99" s="39">
        <v>1.0</v>
      </c>
    </row>
    <row r="100">
      <c r="A100" s="20" t="s">
        <v>879</v>
      </c>
      <c r="D100" s="39" t="s">
        <v>63</v>
      </c>
      <c r="E100" s="39" t="s">
        <v>8</v>
      </c>
      <c r="F100" s="39" t="s">
        <v>64</v>
      </c>
      <c r="G100" s="39" t="s">
        <v>657</v>
      </c>
      <c r="I100" s="40">
        <v>42.884</v>
      </c>
      <c r="L100" s="39" t="s">
        <v>102</v>
      </c>
      <c r="N100" s="39" t="s">
        <v>67</v>
      </c>
      <c r="O100" s="39" t="s">
        <v>68</v>
      </c>
      <c r="Q100" s="39">
        <v>0.0</v>
      </c>
      <c r="R100" s="39">
        <v>0.0</v>
      </c>
      <c r="S100" s="39">
        <v>1.0</v>
      </c>
      <c r="T100" s="39">
        <v>0.0</v>
      </c>
      <c r="U100" s="39">
        <v>0.0</v>
      </c>
      <c r="V100" s="39">
        <v>0.0</v>
      </c>
      <c r="W100" s="39">
        <v>0.0</v>
      </c>
      <c r="X100" s="39">
        <v>0.0</v>
      </c>
      <c r="Y100" s="39">
        <v>0.0</v>
      </c>
      <c r="AC100" s="39">
        <v>250.0</v>
      </c>
      <c r="AE100" s="39">
        <v>1.0</v>
      </c>
    </row>
    <row r="101">
      <c r="A101" s="20" t="s">
        <v>880</v>
      </c>
      <c r="B101" s="39" t="s">
        <v>872</v>
      </c>
      <c r="C101" s="39" t="s">
        <v>873</v>
      </c>
      <c r="D101" s="39" t="s">
        <v>63</v>
      </c>
      <c r="E101" s="39" t="s">
        <v>8</v>
      </c>
      <c r="F101" s="39" t="s">
        <v>64</v>
      </c>
      <c r="G101" s="39" t="s">
        <v>881</v>
      </c>
      <c r="H101" s="39" t="s">
        <v>881</v>
      </c>
      <c r="I101" s="40">
        <v>43.235</v>
      </c>
      <c r="L101" s="39" t="s">
        <v>66</v>
      </c>
      <c r="N101" s="39" t="s">
        <v>67</v>
      </c>
      <c r="O101" s="39" t="s">
        <v>68</v>
      </c>
      <c r="Q101" s="39">
        <v>0.0</v>
      </c>
      <c r="R101" s="39">
        <v>0.0</v>
      </c>
      <c r="S101" s="39">
        <v>1.0</v>
      </c>
      <c r="T101" s="39">
        <v>0.0</v>
      </c>
      <c r="U101" s="39">
        <v>0.0</v>
      </c>
      <c r="V101" s="39">
        <v>0.0</v>
      </c>
      <c r="W101" s="39">
        <v>0.0</v>
      </c>
      <c r="X101" s="39">
        <v>0.0</v>
      </c>
      <c r="Y101" s="39">
        <v>0.0</v>
      </c>
      <c r="AC101" s="39">
        <v>300.0</v>
      </c>
      <c r="AE101" s="39">
        <v>1.0</v>
      </c>
    </row>
    <row r="102">
      <c r="A102" s="20" t="s">
        <v>882</v>
      </c>
      <c r="D102" s="39" t="s">
        <v>63</v>
      </c>
      <c r="E102" s="39" t="s">
        <v>8</v>
      </c>
      <c r="F102" s="39" t="s">
        <v>64</v>
      </c>
      <c r="G102" s="39" t="s">
        <v>883</v>
      </c>
      <c r="H102" s="39" t="s">
        <v>883</v>
      </c>
      <c r="I102" s="40">
        <v>43.755</v>
      </c>
      <c r="L102" s="39" t="s">
        <v>102</v>
      </c>
      <c r="N102" s="39" t="s">
        <v>67</v>
      </c>
      <c r="O102" s="39" t="s">
        <v>68</v>
      </c>
      <c r="Q102" s="39">
        <v>0.0</v>
      </c>
      <c r="R102" s="39">
        <v>0.0</v>
      </c>
      <c r="S102" s="39">
        <v>1.0</v>
      </c>
      <c r="T102" s="39">
        <v>0.0</v>
      </c>
      <c r="U102" s="39">
        <v>0.0</v>
      </c>
      <c r="V102" s="39">
        <v>0.0</v>
      </c>
      <c r="W102" s="39">
        <v>0.0</v>
      </c>
      <c r="X102" s="39">
        <v>0.0</v>
      </c>
      <c r="Y102" s="39">
        <v>0.0</v>
      </c>
      <c r="AC102" s="39">
        <v>400.0</v>
      </c>
      <c r="AE102" s="39">
        <v>1.0</v>
      </c>
    </row>
    <row r="103">
      <c r="A103" s="20" t="s">
        <v>884</v>
      </c>
      <c r="D103" s="39" t="s">
        <v>63</v>
      </c>
      <c r="E103" s="39" t="s">
        <v>8</v>
      </c>
      <c r="F103" s="39" t="s">
        <v>64</v>
      </c>
      <c r="G103" s="39" t="s">
        <v>885</v>
      </c>
      <c r="H103" s="39" t="s">
        <v>885</v>
      </c>
      <c r="I103" s="40">
        <v>44.378</v>
      </c>
      <c r="L103" s="39" t="s">
        <v>102</v>
      </c>
      <c r="N103" s="39" t="s">
        <v>67</v>
      </c>
      <c r="O103" s="39" t="s">
        <v>67</v>
      </c>
      <c r="Q103" s="39">
        <v>0.0</v>
      </c>
      <c r="R103" s="39">
        <v>0.0</v>
      </c>
      <c r="S103" s="39">
        <v>1.0</v>
      </c>
      <c r="T103" s="39">
        <v>0.0</v>
      </c>
      <c r="U103" s="39">
        <v>0.0</v>
      </c>
      <c r="V103" s="39">
        <v>0.0</v>
      </c>
      <c r="W103" s="39">
        <v>0.0</v>
      </c>
      <c r="X103" s="39">
        <v>0.0</v>
      </c>
      <c r="Y103" s="39">
        <v>0.0</v>
      </c>
      <c r="AC103" s="39">
        <v>400.0</v>
      </c>
      <c r="AE103" s="39">
        <v>1.0</v>
      </c>
    </row>
    <row r="104">
      <c r="A104" s="20" t="s">
        <v>886</v>
      </c>
      <c r="D104" s="39" t="s">
        <v>63</v>
      </c>
      <c r="E104" s="39" t="s">
        <v>8</v>
      </c>
      <c r="F104" s="39" t="s">
        <v>64</v>
      </c>
      <c r="G104" s="39" t="s">
        <v>887</v>
      </c>
      <c r="H104" s="39" t="s">
        <v>887</v>
      </c>
      <c r="I104" s="40">
        <v>45.01</v>
      </c>
      <c r="L104" s="39" t="s">
        <v>102</v>
      </c>
      <c r="N104" s="39" t="s">
        <v>67</v>
      </c>
      <c r="O104" s="39" t="s">
        <v>68</v>
      </c>
      <c r="Q104" s="39">
        <v>0.0</v>
      </c>
      <c r="R104" s="39">
        <v>0.0</v>
      </c>
      <c r="S104" s="39">
        <v>1.0</v>
      </c>
      <c r="T104" s="39">
        <v>0.0</v>
      </c>
      <c r="U104" s="39">
        <v>0.0</v>
      </c>
      <c r="V104" s="39">
        <v>0.0</v>
      </c>
      <c r="W104" s="39">
        <v>0.0</v>
      </c>
      <c r="X104" s="39">
        <v>0.0</v>
      </c>
      <c r="Y104" s="39">
        <v>0.0</v>
      </c>
      <c r="AC104" s="39">
        <v>400.0</v>
      </c>
      <c r="AE104" s="39">
        <v>1.0</v>
      </c>
    </row>
    <row r="105">
      <c r="A105" s="20" t="s">
        <v>888</v>
      </c>
      <c r="D105" s="39" t="s">
        <v>63</v>
      </c>
      <c r="E105" s="39" t="s">
        <v>8</v>
      </c>
      <c r="F105" s="39" t="s">
        <v>64</v>
      </c>
      <c r="G105" s="39" t="s">
        <v>889</v>
      </c>
      <c r="H105" s="39" t="s">
        <v>889</v>
      </c>
      <c r="I105" s="40">
        <v>45.76</v>
      </c>
      <c r="L105" s="39" t="s">
        <v>102</v>
      </c>
      <c r="N105" s="39" t="s">
        <v>67</v>
      </c>
      <c r="O105" s="39" t="s">
        <v>68</v>
      </c>
      <c r="Q105" s="39">
        <v>0.0</v>
      </c>
      <c r="R105" s="39">
        <v>0.0</v>
      </c>
      <c r="S105" s="39">
        <v>1.0</v>
      </c>
      <c r="T105" s="39">
        <v>0.0</v>
      </c>
      <c r="U105" s="39">
        <v>0.0</v>
      </c>
      <c r="V105" s="39">
        <v>0.0</v>
      </c>
      <c r="W105" s="39">
        <v>0.0</v>
      </c>
      <c r="X105" s="39">
        <v>0.0</v>
      </c>
      <c r="Y105" s="39">
        <v>0.0</v>
      </c>
      <c r="AC105" s="39">
        <v>500.0</v>
      </c>
      <c r="AE105" s="39">
        <v>1.0</v>
      </c>
    </row>
    <row r="106">
      <c r="A106" s="20" t="s">
        <v>890</v>
      </c>
      <c r="D106" s="39" t="s">
        <v>63</v>
      </c>
      <c r="E106" s="39" t="s">
        <v>8</v>
      </c>
      <c r="F106" s="39" t="s">
        <v>64</v>
      </c>
      <c r="G106" s="39" t="s">
        <v>891</v>
      </c>
      <c r="H106" s="39" t="s">
        <v>891</v>
      </c>
      <c r="I106" s="40">
        <v>46.382</v>
      </c>
      <c r="L106" s="39" t="s">
        <v>102</v>
      </c>
      <c r="N106" s="39" t="s">
        <v>67</v>
      </c>
      <c r="O106" s="39" t="s">
        <v>68</v>
      </c>
      <c r="Q106" s="39">
        <v>0.0</v>
      </c>
      <c r="R106" s="39">
        <v>0.0</v>
      </c>
      <c r="S106" s="39">
        <v>1.0</v>
      </c>
      <c r="T106" s="39">
        <v>0.0</v>
      </c>
      <c r="U106" s="39">
        <v>0.0</v>
      </c>
      <c r="V106" s="39">
        <v>0.0</v>
      </c>
      <c r="W106" s="39">
        <v>0.0</v>
      </c>
      <c r="X106" s="39">
        <v>0.0</v>
      </c>
      <c r="Y106" s="39">
        <v>0.0</v>
      </c>
      <c r="AC106" s="39">
        <v>400.0</v>
      </c>
      <c r="AE106" s="39">
        <v>1.0</v>
      </c>
    </row>
    <row r="107">
      <c r="A107" s="20" t="s">
        <v>892</v>
      </c>
      <c r="D107" s="39" t="s">
        <v>63</v>
      </c>
      <c r="E107" s="39" t="s">
        <v>8</v>
      </c>
      <c r="F107" s="39" t="s">
        <v>64</v>
      </c>
      <c r="G107" s="39" t="s">
        <v>893</v>
      </c>
      <c r="H107" s="39" t="s">
        <v>893</v>
      </c>
      <c r="I107" s="40">
        <v>46.935</v>
      </c>
      <c r="L107" s="39" t="s">
        <v>102</v>
      </c>
      <c r="N107" s="39" t="s">
        <v>67</v>
      </c>
      <c r="O107" s="39" t="s">
        <v>67</v>
      </c>
      <c r="Q107" s="39">
        <v>0.0</v>
      </c>
      <c r="R107" s="39">
        <v>0.0</v>
      </c>
      <c r="S107" s="39">
        <v>1.0</v>
      </c>
      <c r="T107" s="39">
        <v>0.0</v>
      </c>
      <c r="U107" s="39">
        <v>0.0</v>
      </c>
      <c r="V107" s="39">
        <v>0.0</v>
      </c>
      <c r="W107" s="39">
        <v>0.0</v>
      </c>
      <c r="X107" s="39">
        <v>0.0</v>
      </c>
      <c r="Y107" s="39">
        <v>0.0</v>
      </c>
      <c r="AC107" s="39">
        <v>500.0</v>
      </c>
      <c r="AE107" s="39">
        <v>1.0</v>
      </c>
    </row>
    <row r="108">
      <c r="A108" s="20" t="s">
        <v>894</v>
      </c>
      <c r="C108" s="39" t="s">
        <v>895</v>
      </c>
      <c r="D108" s="39" t="s">
        <v>63</v>
      </c>
      <c r="E108" s="39" t="s">
        <v>8</v>
      </c>
      <c r="F108" s="39" t="s">
        <v>64</v>
      </c>
      <c r="G108" s="39" t="s">
        <v>896</v>
      </c>
      <c r="H108" s="39" t="s">
        <v>896</v>
      </c>
      <c r="I108" s="40">
        <v>47.381</v>
      </c>
      <c r="L108" s="39" t="s">
        <v>66</v>
      </c>
      <c r="N108" s="39" t="s">
        <v>67</v>
      </c>
      <c r="O108" s="39" t="s">
        <v>68</v>
      </c>
      <c r="Q108" s="39">
        <v>0.0</v>
      </c>
      <c r="R108" s="39">
        <v>0.0</v>
      </c>
      <c r="S108" s="39">
        <v>1.0</v>
      </c>
      <c r="T108" s="39">
        <v>0.0</v>
      </c>
      <c r="U108" s="39">
        <v>0.0</v>
      </c>
      <c r="V108" s="39">
        <v>0.0</v>
      </c>
      <c r="W108" s="39">
        <v>0.0</v>
      </c>
      <c r="X108" s="39">
        <v>0.0</v>
      </c>
      <c r="Y108" s="39">
        <v>0.0</v>
      </c>
      <c r="AC108" s="39">
        <v>300.0</v>
      </c>
      <c r="AE108" s="39">
        <v>1.0</v>
      </c>
    </row>
    <row r="109">
      <c r="A109" s="20" t="s">
        <v>897</v>
      </c>
      <c r="C109" s="39" t="s">
        <v>895</v>
      </c>
      <c r="D109" s="39" t="s">
        <v>63</v>
      </c>
      <c r="E109" s="39" t="s">
        <v>8</v>
      </c>
      <c r="F109" s="39" t="s">
        <v>64</v>
      </c>
      <c r="G109" s="39" t="s">
        <v>898</v>
      </c>
      <c r="H109" s="39" t="s">
        <v>898</v>
      </c>
      <c r="I109" s="40">
        <v>48.023</v>
      </c>
      <c r="L109" s="39" t="s">
        <v>66</v>
      </c>
      <c r="N109" s="39" t="s">
        <v>67</v>
      </c>
      <c r="O109" s="39" t="s">
        <v>68</v>
      </c>
      <c r="Q109" s="39">
        <v>0.0</v>
      </c>
      <c r="R109" s="39">
        <v>0.0</v>
      </c>
      <c r="S109" s="39">
        <v>1.0</v>
      </c>
      <c r="T109" s="39">
        <v>0.0</v>
      </c>
      <c r="U109" s="39">
        <v>0.0</v>
      </c>
      <c r="V109" s="39">
        <v>1.0</v>
      </c>
      <c r="W109" s="39">
        <v>0.0</v>
      </c>
      <c r="X109" s="39">
        <v>1.0</v>
      </c>
      <c r="Y109" s="39">
        <v>0.0</v>
      </c>
      <c r="Z109" s="30" t="s">
        <v>899</v>
      </c>
      <c r="AA109" s="30" t="s">
        <v>115</v>
      </c>
      <c r="AC109" s="39">
        <v>400.0</v>
      </c>
      <c r="AE109" s="39">
        <v>1.0</v>
      </c>
    </row>
    <row r="110">
      <c r="A110" s="20" t="s">
        <v>900</v>
      </c>
      <c r="C110" s="39" t="s">
        <v>895</v>
      </c>
      <c r="D110" s="39" t="s">
        <v>63</v>
      </c>
      <c r="E110" s="39" t="s">
        <v>8</v>
      </c>
      <c r="F110" s="39" t="s">
        <v>64</v>
      </c>
      <c r="G110" s="39" t="s">
        <v>901</v>
      </c>
      <c r="I110" s="40">
        <v>48.606</v>
      </c>
      <c r="L110" s="39" t="s">
        <v>66</v>
      </c>
      <c r="N110" s="39" t="s">
        <v>67</v>
      </c>
      <c r="O110" s="39" t="s">
        <v>68</v>
      </c>
      <c r="Q110" s="39">
        <v>0.0</v>
      </c>
      <c r="R110" s="39">
        <v>0.0</v>
      </c>
      <c r="S110" s="39">
        <v>1.0</v>
      </c>
      <c r="T110" s="39">
        <v>0.0</v>
      </c>
      <c r="U110" s="39">
        <v>0.0</v>
      </c>
      <c r="V110" s="39">
        <v>0.0</v>
      </c>
      <c r="W110" s="39">
        <v>0.0</v>
      </c>
      <c r="X110" s="39">
        <v>0.0</v>
      </c>
      <c r="Y110" s="39">
        <v>0.0</v>
      </c>
      <c r="AC110" s="39">
        <v>350.0</v>
      </c>
      <c r="AE110" s="39">
        <v>1.0</v>
      </c>
    </row>
    <row r="111">
      <c r="A111" s="20" t="s">
        <v>902</v>
      </c>
      <c r="D111" s="39" t="s">
        <v>63</v>
      </c>
      <c r="E111" s="39" t="s">
        <v>8</v>
      </c>
      <c r="F111" s="39" t="s">
        <v>64</v>
      </c>
      <c r="G111" s="39" t="s">
        <v>903</v>
      </c>
      <c r="H111" s="39" t="s">
        <v>903</v>
      </c>
      <c r="I111" s="40">
        <v>49.01</v>
      </c>
      <c r="L111" s="39" t="s">
        <v>102</v>
      </c>
      <c r="N111" s="39" t="s">
        <v>67</v>
      </c>
      <c r="O111" s="39" t="s">
        <v>68</v>
      </c>
      <c r="Q111" s="39">
        <v>0.0</v>
      </c>
      <c r="R111" s="39">
        <v>0.0</v>
      </c>
      <c r="S111" s="39">
        <v>1.0</v>
      </c>
      <c r="T111" s="39">
        <v>0.0</v>
      </c>
      <c r="U111" s="39">
        <v>0.0</v>
      </c>
      <c r="V111" s="39">
        <v>0.0</v>
      </c>
      <c r="W111" s="39">
        <v>0.0</v>
      </c>
      <c r="X111" s="39">
        <v>0.0</v>
      </c>
      <c r="Y111" s="39">
        <v>0.0</v>
      </c>
      <c r="AC111" s="39">
        <v>400.0</v>
      </c>
      <c r="AE111" s="39">
        <v>1.0</v>
      </c>
    </row>
    <row r="112">
      <c r="A112" s="20" t="s">
        <v>904</v>
      </c>
      <c r="D112" s="39" t="s">
        <v>63</v>
      </c>
      <c r="E112" s="39" t="s">
        <v>8</v>
      </c>
      <c r="F112" s="39" t="s">
        <v>64</v>
      </c>
      <c r="G112" s="39" t="s">
        <v>905</v>
      </c>
      <c r="H112" s="39" t="s">
        <v>905</v>
      </c>
      <c r="I112" s="40">
        <v>49.667</v>
      </c>
      <c r="L112" s="39" t="s">
        <v>102</v>
      </c>
      <c r="N112" s="39" t="s">
        <v>67</v>
      </c>
      <c r="O112" s="39" t="s">
        <v>68</v>
      </c>
      <c r="Q112" s="39">
        <v>0.0</v>
      </c>
      <c r="R112" s="39">
        <v>0.0</v>
      </c>
      <c r="S112" s="39">
        <v>1.0</v>
      </c>
      <c r="T112" s="39">
        <v>0.0</v>
      </c>
      <c r="U112" s="39">
        <v>0.0</v>
      </c>
      <c r="V112" s="39">
        <v>0.0</v>
      </c>
      <c r="W112" s="39">
        <v>0.0</v>
      </c>
      <c r="X112" s="39">
        <v>0.0</v>
      </c>
      <c r="Y112" s="39">
        <v>0.0</v>
      </c>
      <c r="AC112" s="39">
        <v>300.0</v>
      </c>
      <c r="AE112" s="39">
        <v>1.0</v>
      </c>
    </row>
    <row r="113">
      <c r="A113" s="20" t="s">
        <v>906</v>
      </c>
      <c r="B113" s="39" t="s">
        <v>907</v>
      </c>
      <c r="C113" s="39" t="s">
        <v>908</v>
      </c>
      <c r="D113" s="39" t="s">
        <v>63</v>
      </c>
      <c r="E113" s="39" t="s">
        <v>8</v>
      </c>
      <c r="F113" s="39" t="s">
        <v>64</v>
      </c>
      <c r="G113" s="39" t="s">
        <v>909</v>
      </c>
      <c r="I113" s="40">
        <v>50.111</v>
      </c>
      <c r="L113" s="39" t="s">
        <v>66</v>
      </c>
      <c r="N113" s="39" t="s">
        <v>67</v>
      </c>
      <c r="O113" s="39" t="s">
        <v>67</v>
      </c>
      <c r="Q113" s="39">
        <v>0.0</v>
      </c>
      <c r="R113" s="39">
        <v>0.0</v>
      </c>
      <c r="S113" s="39">
        <v>1.0</v>
      </c>
      <c r="T113" s="39">
        <v>0.0</v>
      </c>
      <c r="U113" s="39">
        <v>0.0</v>
      </c>
      <c r="V113" s="39">
        <v>1.0</v>
      </c>
      <c r="W113" s="39">
        <v>0.0</v>
      </c>
      <c r="X113" s="39">
        <v>1.0</v>
      </c>
      <c r="Y113" s="39">
        <v>0.0</v>
      </c>
      <c r="Z113" s="30" t="s">
        <v>910</v>
      </c>
      <c r="AA113" s="30" t="s">
        <v>115</v>
      </c>
      <c r="AC113" s="39">
        <v>200.0</v>
      </c>
      <c r="AE113" s="39">
        <v>1.0</v>
      </c>
    </row>
    <row r="114">
      <c r="A114" s="20" t="s">
        <v>911</v>
      </c>
      <c r="B114" s="39" t="s">
        <v>907</v>
      </c>
      <c r="C114" s="39" t="s">
        <v>908</v>
      </c>
      <c r="D114" s="39" t="s">
        <v>63</v>
      </c>
      <c r="E114" s="39" t="s">
        <v>8</v>
      </c>
      <c r="F114" s="39" t="s">
        <v>64</v>
      </c>
      <c r="G114" s="39" t="s">
        <v>912</v>
      </c>
      <c r="H114" s="39" t="s">
        <v>912</v>
      </c>
      <c r="I114" s="40">
        <v>50.573</v>
      </c>
      <c r="L114" s="39" t="s">
        <v>66</v>
      </c>
      <c r="N114" s="39" t="s">
        <v>67</v>
      </c>
      <c r="O114" s="39" t="s">
        <v>68</v>
      </c>
      <c r="Q114" s="39">
        <v>0.0</v>
      </c>
      <c r="R114" s="39">
        <v>0.0</v>
      </c>
      <c r="S114" s="39">
        <v>1.0</v>
      </c>
      <c r="T114" s="39">
        <v>0.0</v>
      </c>
      <c r="U114" s="39">
        <v>0.0</v>
      </c>
      <c r="V114" s="39">
        <v>0.0</v>
      </c>
      <c r="W114" s="39">
        <v>0.0</v>
      </c>
      <c r="X114" s="39">
        <v>0.0</v>
      </c>
      <c r="Y114" s="39">
        <v>0.0</v>
      </c>
      <c r="AC114" s="39">
        <v>300.0</v>
      </c>
      <c r="AE114" s="39">
        <v>1.0</v>
      </c>
    </row>
    <row r="115">
      <c r="A115" s="20" t="s">
        <v>913</v>
      </c>
      <c r="D115" s="39" t="s">
        <v>63</v>
      </c>
      <c r="E115" s="39" t="s">
        <v>8</v>
      </c>
      <c r="F115" s="39" t="s">
        <v>64</v>
      </c>
      <c r="G115" s="39" t="s">
        <v>914</v>
      </c>
      <c r="H115" s="39" t="s">
        <v>914</v>
      </c>
      <c r="I115" s="40">
        <v>51.105</v>
      </c>
      <c r="L115" s="39" t="s">
        <v>102</v>
      </c>
      <c r="N115" s="39" t="s">
        <v>67</v>
      </c>
      <c r="O115" s="39" t="s">
        <v>68</v>
      </c>
      <c r="Q115" s="39">
        <v>0.0</v>
      </c>
      <c r="R115" s="39">
        <v>0.0</v>
      </c>
      <c r="S115" s="39">
        <v>1.0</v>
      </c>
      <c r="T115" s="39">
        <v>0.0</v>
      </c>
      <c r="U115" s="39">
        <v>0.0</v>
      </c>
      <c r="V115" s="39">
        <v>0.0</v>
      </c>
      <c r="W115" s="39">
        <v>0.0</v>
      </c>
      <c r="X115" s="39">
        <v>0.0</v>
      </c>
      <c r="Y115" s="39">
        <v>0.0</v>
      </c>
      <c r="AC115" s="39">
        <v>300.0</v>
      </c>
      <c r="AE115" s="39">
        <v>1.0</v>
      </c>
    </row>
    <row r="116">
      <c r="A116" s="20" t="s">
        <v>915</v>
      </c>
      <c r="B116" s="39" t="s">
        <v>360</v>
      </c>
      <c r="C116" s="39" t="s">
        <v>361</v>
      </c>
      <c r="D116" s="39" t="s">
        <v>63</v>
      </c>
      <c r="E116" s="39" t="s">
        <v>8</v>
      </c>
      <c r="F116" s="39" t="s">
        <v>64</v>
      </c>
      <c r="G116" s="39" t="s">
        <v>916</v>
      </c>
      <c r="H116" s="39" t="s">
        <v>916</v>
      </c>
      <c r="I116" s="40">
        <v>51.486</v>
      </c>
      <c r="L116" s="39" t="s">
        <v>66</v>
      </c>
      <c r="N116" s="39" t="s">
        <v>67</v>
      </c>
      <c r="O116" s="39" t="s">
        <v>68</v>
      </c>
      <c r="Q116" s="39">
        <v>0.0</v>
      </c>
      <c r="R116" s="39">
        <v>0.0</v>
      </c>
      <c r="S116" s="39">
        <v>1.0</v>
      </c>
      <c r="T116" s="39">
        <v>0.0</v>
      </c>
      <c r="U116" s="39">
        <v>0.0</v>
      </c>
      <c r="V116" s="39">
        <v>1.0</v>
      </c>
      <c r="W116" s="39">
        <v>0.0</v>
      </c>
      <c r="X116" s="39">
        <v>0.0</v>
      </c>
      <c r="Y116" s="39">
        <v>3.0</v>
      </c>
      <c r="Z116" s="30" t="s">
        <v>917</v>
      </c>
      <c r="AA116" s="30" t="s">
        <v>266</v>
      </c>
      <c r="AC116" s="39">
        <v>400.0</v>
      </c>
      <c r="AE116" s="39">
        <v>1.0</v>
      </c>
    </row>
    <row r="117">
      <c r="A117" s="20" t="s">
        <v>918</v>
      </c>
      <c r="B117" s="39" t="s">
        <v>360</v>
      </c>
      <c r="C117" s="39" t="s">
        <v>361</v>
      </c>
      <c r="D117" s="39" t="s">
        <v>63</v>
      </c>
      <c r="E117" s="39" t="s">
        <v>8</v>
      </c>
      <c r="F117" s="39" t="s">
        <v>64</v>
      </c>
      <c r="G117" s="39" t="s">
        <v>919</v>
      </c>
      <c r="H117" s="39" t="s">
        <v>919</v>
      </c>
      <c r="I117" s="40">
        <v>52.184</v>
      </c>
      <c r="L117" s="39" t="s">
        <v>66</v>
      </c>
      <c r="N117" s="39" t="s">
        <v>67</v>
      </c>
      <c r="O117" s="39" t="s">
        <v>67</v>
      </c>
      <c r="Q117" s="39">
        <v>0.0</v>
      </c>
      <c r="R117" s="39">
        <v>0.0</v>
      </c>
      <c r="S117" s="39">
        <v>1.0</v>
      </c>
      <c r="T117" s="39">
        <v>0.0</v>
      </c>
      <c r="U117" s="39">
        <v>0.0</v>
      </c>
      <c r="V117" s="39">
        <v>1.0</v>
      </c>
      <c r="W117" s="39">
        <v>0.0</v>
      </c>
      <c r="X117" s="39">
        <v>0.0</v>
      </c>
      <c r="Y117" s="39">
        <v>1.0</v>
      </c>
      <c r="Z117" s="30" t="s">
        <v>920</v>
      </c>
      <c r="AA117" s="30" t="s">
        <v>97</v>
      </c>
      <c r="AC117" s="39">
        <v>500.0</v>
      </c>
      <c r="AE117" s="39">
        <v>1.0</v>
      </c>
    </row>
    <row r="118">
      <c r="A118" s="20" t="s">
        <v>921</v>
      </c>
      <c r="B118" s="39" t="s">
        <v>360</v>
      </c>
      <c r="C118" s="39" t="s">
        <v>361</v>
      </c>
      <c r="D118" s="39" t="s">
        <v>63</v>
      </c>
      <c r="E118" s="39" t="s">
        <v>8</v>
      </c>
      <c r="F118" s="39" t="s">
        <v>64</v>
      </c>
      <c r="G118" s="39" t="s">
        <v>922</v>
      </c>
      <c r="H118" s="39" t="s">
        <v>922</v>
      </c>
      <c r="I118" s="40">
        <v>52.585</v>
      </c>
      <c r="L118" s="39" t="s">
        <v>66</v>
      </c>
      <c r="N118" s="39" t="s">
        <v>67</v>
      </c>
      <c r="O118" s="39" t="s">
        <v>68</v>
      </c>
      <c r="Q118" s="39">
        <v>0.0</v>
      </c>
      <c r="R118" s="39">
        <v>0.0</v>
      </c>
      <c r="S118" s="39">
        <v>1.0</v>
      </c>
      <c r="T118" s="39">
        <v>0.0</v>
      </c>
      <c r="U118" s="39">
        <v>0.0</v>
      </c>
      <c r="V118" s="39">
        <v>1.0</v>
      </c>
      <c r="W118" s="39">
        <v>0.0</v>
      </c>
      <c r="X118" s="39">
        <v>2.0</v>
      </c>
      <c r="Y118" s="39">
        <v>0.0</v>
      </c>
      <c r="Z118" s="30" t="s">
        <v>923</v>
      </c>
      <c r="AA118" s="30" t="s">
        <v>78</v>
      </c>
      <c r="AC118" s="39">
        <v>500.0</v>
      </c>
      <c r="AE118" s="39">
        <v>1.0</v>
      </c>
    </row>
    <row r="119">
      <c r="A119" s="20" t="s">
        <v>924</v>
      </c>
      <c r="B119" s="39" t="s">
        <v>360</v>
      </c>
      <c r="C119" s="39" t="s">
        <v>361</v>
      </c>
      <c r="D119" s="39" t="s">
        <v>63</v>
      </c>
      <c r="E119" s="39" t="s">
        <v>8</v>
      </c>
      <c r="F119" s="39" t="s">
        <v>64</v>
      </c>
      <c r="G119" s="39" t="s">
        <v>925</v>
      </c>
      <c r="H119" s="39" t="s">
        <v>925</v>
      </c>
      <c r="I119" s="40">
        <v>53.258</v>
      </c>
      <c r="L119" s="39" t="s">
        <v>66</v>
      </c>
      <c r="N119" s="39" t="s">
        <v>81</v>
      </c>
      <c r="O119" s="39" t="s">
        <v>68</v>
      </c>
      <c r="Q119" s="39">
        <v>1.0</v>
      </c>
      <c r="R119" s="39">
        <v>0.0</v>
      </c>
      <c r="S119" s="39">
        <v>0.0</v>
      </c>
      <c r="T119" s="39">
        <v>0.0</v>
      </c>
      <c r="X119" s="39">
        <v>0.0</v>
      </c>
      <c r="Y119" s="39">
        <v>1.0</v>
      </c>
      <c r="Z119" s="30" t="s">
        <v>926</v>
      </c>
      <c r="AA119" s="30" t="s">
        <v>115</v>
      </c>
      <c r="AC119" s="39">
        <v>300.0</v>
      </c>
      <c r="AE119" s="39">
        <v>1.0</v>
      </c>
    </row>
    <row r="120">
      <c r="A120" s="20" t="s">
        <v>927</v>
      </c>
      <c r="B120" s="39" t="s">
        <v>360</v>
      </c>
      <c r="C120" s="39" t="s">
        <v>361</v>
      </c>
      <c r="D120" s="39" t="s">
        <v>63</v>
      </c>
      <c r="E120" s="39" t="s">
        <v>8</v>
      </c>
      <c r="F120" s="39" t="s">
        <v>64</v>
      </c>
      <c r="G120" s="39" t="s">
        <v>901</v>
      </c>
      <c r="I120" s="40">
        <v>53.777</v>
      </c>
      <c r="L120" s="39" t="s">
        <v>66</v>
      </c>
      <c r="N120" s="39" t="s">
        <v>81</v>
      </c>
      <c r="O120" s="39" t="s">
        <v>68</v>
      </c>
      <c r="Q120" s="39">
        <v>1.0</v>
      </c>
      <c r="R120" s="39">
        <v>0.0</v>
      </c>
      <c r="S120" s="39">
        <v>0.0</v>
      </c>
      <c r="T120" s="39">
        <v>0.0</v>
      </c>
      <c r="X120" s="39">
        <v>0.0</v>
      </c>
      <c r="Y120" s="39">
        <v>1.0</v>
      </c>
      <c r="Z120" s="30" t="s">
        <v>928</v>
      </c>
      <c r="AA120" s="30" t="s">
        <v>115</v>
      </c>
      <c r="AE120" s="39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46" t="s">
        <v>663</v>
      </c>
      <c r="B2" s="47" t="s">
        <v>360</v>
      </c>
      <c r="C2" s="47" t="s">
        <v>361</v>
      </c>
      <c r="D2" s="47" t="s">
        <v>499</v>
      </c>
      <c r="E2" s="47" t="s">
        <v>9</v>
      </c>
      <c r="F2" s="47" t="s">
        <v>397</v>
      </c>
      <c r="G2" s="47" t="s">
        <v>65</v>
      </c>
      <c r="H2" s="2"/>
      <c r="I2" s="2"/>
      <c r="J2" s="2"/>
      <c r="K2" s="2"/>
      <c r="L2" s="47" t="s">
        <v>66</v>
      </c>
      <c r="M2" s="2"/>
      <c r="N2" s="47" t="s">
        <v>81</v>
      </c>
      <c r="O2" s="47" t="s">
        <v>68</v>
      </c>
      <c r="P2" s="2"/>
      <c r="Q2" s="48">
        <v>1.0</v>
      </c>
      <c r="R2" s="48">
        <v>0.0</v>
      </c>
      <c r="S2" s="48">
        <v>0.0</v>
      </c>
      <c r="T2" s="48">
        <v>0.0</v>
      </c>
      <c r="U2" s="2"/>
      <c r="V2" s="2"/>
      <c r="W2" s="2"/>
      <c r="X2" s="22">
        <v>0.0</v>
      </c>
      <c r="Y2" s="22">
        <v>0.0</v>
      </c>
      <c r="Z2" s="2"/>
      <c r="AA2" s="2"/>
      <c r="AB2" s="2"/>
      <c r="AC2" s="48">
        <v>200.0</v>
      </c>
      <c r="AD2" s="2"/>
      <c r="AE2" s="48">
        <v>1.0</v>
      </c>
    </row>
    <row r="3">
      <c r="A3" s="20" t="s">
        <v>664</v>
      </c>
      <c r="B3" s="47" t="s">
        <v>360</v>
      </c>
      <c r="C3" s="47" t="s">
        <v>361</v>
      </c>
      <c r="D3" s="47" t="s">
        <v>499</v>
      </c>
      <c r="E3" s="47" t="s">
        <v>9</v>
      </c>
      <c r="F3" s="47" t="s">
        <v>397</v>
      </c>
      <c r="G3" s="2"/>
      <c r="H3" s="2"/>
      <c r="I3" s="2"/>
      <c r="J3" s="2"/>
      <c r="K3" s="2"/>
      <c r="L3" s="47" t="s">
        <v>66</v>
      </c>
      <c r="M3" s="2"/>
      <c r="N3" s="2" t="s">
        <v>67</v>
      </c>
      <c r="O3" s="47" t="s">
        <v>68</v>
      </c>
      <c r="P3" s="2"/>
      <c r="Q3" s="22">
        <v>0.0</v>
      </c>
      <c r="R3" s="22">
        <v>0.0</v>
      </c>
      <c r="S3" s="22">
        <v>1.0</v>
      </c>
      <c r="T3" s="22">
        <v>0.0</v>
      </c>
      <c r="U3" s="2"/>
      <c r="V3" s="2"/>
      <c r="W3" s="2"/>
      <c r="X3" s="22">
        <v>2.0</v>
      </c>
      <c r="Y3" s="22">
        <v>0.0</v>
      </c>
      <c r="Z3" s="2" t="s">
        <v>929</v>
      </c>
      <c r="AA3" s="2" t="s">
        <v>78</v>
      </c>
      <c r="AB3" s="2"/>
      <c r="AC3" s="48">
        <v>400.0</v>
      </c>
      <c r="AD3" s="2"/>
      <c r="AE3" s="48">
        <v>1.0</v>
      </c>
    </row>
    <row r="4">
      <c r="A4" s="20" t="s">
        <v>930</v>
      </c>
      <c r="B4" s="47" t="s">
        <v>360</v>
      </c>
      <c r="C4" s="47" t="s">
        <v>361</v>
      </c>
      <c r="D4" s="47" t="s">
        <v>499</v>
      </c>
      <c r="E4" s="47" t="s">
        <v>9</v>
      </c>
      <c r="F4" s="47" t="s">
        <v>397</v>
      </c>
      <c r="G4" s="47" t="s">
        <v>931</v>
      </c>
      <c r="H4" s="47" t="s">
        <v>931</v>
      </c>
      <c r="I4" s="2"/>
      <c r="J4" s="2"/>
      <c r="K4" s="2"/>
      <c r="L4" s="47" t="s">
        <v>66</v>
      </c>
      <c r="M4" s="2"/>
      <c r="N4" s="2" t="s">
        <v>119</v>
      </c>
      <c r="O4" s="47" t="s">
        <v>81</v>
      </c>
      <c r="P4" s="2"/>
      <c r="Q4" s="22">
        <v>0.0</v>
      </c>
      <c r="R4" s="22">
        <v>1.0</v>
      </c>
      <c r="S4" s="22">
        <v>0.0</v>
      </c>
      <c r="T4" s="22">
        <v>0.0</v>
      </c>
      <c r="U4" s="2"/>
      <c r="V4" s="2"/>
      <c r="W4" s="2"/>
      <c r="X4" s="22">
        <v>0.0</v>
      </c>
      <c r="Y4" s="22">
        <v>0.0</v>
      </c>
      <c r="Z4" s="2"/>
      <c r="AA4" s="2"/>
      <c r="AB4" s="2"/>
      <c r="AC4" s="48">
        <v>400.0</v>
      </c>
      <c r="AD4" s="2"/>
      <c r="AE4" s="48">
        <v>1.0</v>
      </c>
    </row>
    <row r="5">
      <c r="A5" s="20" t="s">
        <v>932</v>
      </c>
      <c r="B5" s="47" t="s">
        <v>360</v>
      </c>
      <c r="C5" s="47" t="s">
        <v>361</v>
      </c>
      <c r="D5" s="47" t="s">
        <v>499</v>
      </c>
      <c r="E5" s="47" t="s">
        <v>9</v>
      </c>
      <c r="F5" s="47" t="s">
        <v>397</v>
      </c>
      <c r="G5" s="47" t="s">
        <v>933</v>
      </c>
      <c r="H5" s="47" t="s">
        <v>933</v>
      </c>
      <c r="I5" s="2"/>
      <c r="J5" s="2"/>
      <c r="K5" s="2"/>
      <c r="L5" s="47" t="s">
        <v>66</v>
      </c>
      <c r="M5" s="2"/>
      <c r="N5" s="2" t="s">
        <v>119</v>
      </c>
      <c r="O5" s="47" t="s">
        <v>68</v>
      </c>
      <c r="P5" s="2"/>
      <c r="Q5" s="22">
        <v>0.0</v>
      </c>
      <c r="R5" s="22">
        <v>1.0</v>
      </c>
      <c r="S5" s="22">
        <v>0.0</v>
      </c>
      <c r="T5" s="22">
        <v>0.0</v>
      </c>
      <c r="U5" s="2"/>
      <c r="V5" s="2"/>
      <c r="W5" s="2"/>
      <c r="X5" s="22">
        <v>0.0</v>
      </c>
      <c r="Y5" s="22">
        <v>0.0</v>
      </c>
      <c r="Z5" s="2"/>
      <c r="AA5" s="2"/>
      <c r="AB5" s="2"/>
      <c r="AC5" s="48">
        <v>400.0</v>
      </c>
      <c r="AD5" s="2"/>
      <c r="AE5" s="48">
        <v>1.0</v>
      </c>
    </row>
    <row r="6">
      <c r="A6" s="20" t="s">
        <v>934</v>
      </c>
      <c r="D6" s="39" t="s">
        <v>499</v>
      </c>
      <c r="E6" s="39" t="s">
        <v>9</v>
      </c>
      <c r="F6" s="39" t="s">
        <v>397</v>
      </c>
      <c r="G6" s="39" t="s">
        <v>935</v>
      </c>
      <c r="H6" s="39" t="s">
        <v>935</v>
      </c>
      <c r="L6" s="39" t="s">
        <v>102</v>
      </c>
      <c r="N6" s="39" t="s">
        <v>119</v>
      </c>
      <c r="O6" s="39" t="s">
        <v>68</v>
      </c>
      <c r="Q6" s="39">
        <v>0.0</v>
      </c>
      <c r="R6" s="39">
        <v>1.0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500.0</v>
      </c>
      <c r="AE6" s="39">
        <v>1.0</v>
      </c>
    </row>
    <row r="7">
      <c r="A7" s="20" t="s">
        <v>936</v>
      </c>
      <c r="B7" s="39" t="s">
        <v>907</v>
      </c>
      <c r="C7" s="39" t="s">
        <v>908</v>
      </c>
      <c r="D7" s="39" t="s">
        <v>499</v>
      </c>
      <c r="E7" s="39" t="s">
        <v>9</v>
      </c>
      <c r="F7" s="39" t="s">
        <v>397</v>
      </c>
      <c r="G7" s="39" t="s">
        <v>937</v>
      </c>
      <c r="H7" s="39" t="s">
        <v>937</v>
      </c>
      <c r="L7" s="39" t="s">
        <v>66</v>
      </c>
      <c r="N7" s="39" t="s">
        <v>119</v>
      </c>
      <c r="O7" s="39" t="s">
        <v>68</v>
      </c>
      <c r="Q7" s="39">
        <v>0.0</v>
      </c>
      <c r="R7" s="39">
        <v>1.0</v>
      </c>
      <c r="S7" s="39">
        <v>0.0</v>
      </c>
      <c r="T7" s="39">
        <v>0.0</v>
      </c>
      <c r="U7" s="39">
        <v>0.0</v>
      </c>
      <c r="V7" s="39">
        <v>1.0</v>
      </c>
      <c r="W7" s="39">
        <v>0.0</v>
      </c>
      <c r="X7" s="39">
        <v>0.0</v>
      </c>
      <c r="Y7" s="39">
        <v>1.0</v>
      </c>
      <c r="Z7" s="30" t="s">
        <v>938</v>
      </c>
      <c r="AA7" s="30" t="s">
        <v>97</v>
      </c>
      <c r="AC7" s="39">
        <v>500.0</v>
      </c>
      <c r="AE7" s="39">
        <v>1.0</v>
      </c>
    </row>
    <row r="8">
      <c r="A8" s="20" t="s">
        <v>939</v>
      </c>
      <c r="D8" s="39" t="s">
        <v>499</v>
      </c>
      <c r="E8" s="39" t="s">
        <v>9</v>
      </c>
      <c r="F8" s="39" t="s">
        <v>397</v>
      </c>
      <c r="G8" s="39" t="s">
        <v>940</v>
      </c>
      <c r="H8" s="39" t="s">
        <v>940</v>
      </c>
      <c r="L8" s="39" t="s">
        <v>102</v>
      </c>
      <c r="N8" s="39" t="s">
        <v>119</v>
      </c>
      <c r="O8" s="39" t="s">
        <v>68</v>
      </c>
      <c r="Q8" s="39">
        <v>0.0</v>
      </c>
      <c r="R8" s="39">
        <v>1.0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500.0</v>
      </c>
      <c r="AE8" s="39">
        <v>1.0</v>
      </c>
    </row>
    <row r="9">
      <c r="A9" s="20" t="s">
        <v>941</v>
      </c>
      <c r="D9" s="39" t="s">
        <v>499</v>
      </c>
      <c r="E9" s="39" t="s">
        <v>9</v>
      </c>
      <c r="F9" s="39" t="s">
        <v>397</v>
      </c>
      <c r="G9" s="39" t="s">
        <v>662</v>
      </c>
      <c r="L9" s="39" t="s">
        <v>102</v>
      </c>
      <c r="N9" s="39" t="s">
        <v>81</v>
      </c>
      <c r="O9" s="39" t="s">
        <v>67</v>
      </c>
      <c r="Q9" s="39">
        <v>1.0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400.0</v>
      </c>
      <c r="AE9" s="39">
        <v>1.0</v>
      </c>
    </row>
    <row r="10">
      <c r="A10" s="20" t="s">
        <v>942</v>
      </c>
      <c r="D10" s="39" t="s">
        <v>499</v>
      </c>
      <c r="E10" s="39" t="s">
        <v>9</v>
      </c>
      <c r="F10" s="39" t="s">
        <v>397</v>
      </c>
      <c r="G10" s="39" t="s">
        <v>943</v>
      </c>
      <c r="H10" s="39" t="s">
        <v>943</v>
      </c>
      <c r="L10" s="39" t="s">
        <v>102</v>
      </c>
      <c r="N10" s="39" t="s">
        <v>67</v>
      </c>
      <c r="O10" s="39" t="s">
        <v>67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400.0</v>
      </c>
      <c r="AE10" s="39">
        <v>1.0</v>
      </c>
    </row>
    <row r="11">
      <c r="A11" s="20" t="s">
        <v>944</v>
      </c>
      <c r="D11" s="39" t="s">
        <v>499</v>
      </c>
      <c r="E11" s="39" t="s">
        <v>9</v>
      </c>
      <c r="F11" s="39" t="s">
        <v>397</v>
      </c>
      <c r="G11" s="39" t="s">
        <v>945</v>
      </c>
      <c r="H11" s="39" t="s">
        <v>945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400.0</v>
      </c>
      <c r="AE11" s="39">
        <v>1.0</v>
      </c>
    </row>
    <row r="12">
      <c r="A12" s="20" t="s">
        <v>946</v>
      </c>
      <c r="B12" s="39" t="s">
        <v>343</v>
      </c>
      <c r="C12" s="39" t="s">
        <v>895</v>
      </c>
      <c r="D12" s="39" t="s">
        <v>499</v>
      </c>
      <c r="E12" s="39" t="s">
        <v>9</v>
      </c>
      <c r="F12" s="39" t="s">
        <v>397</v>
      </c>
      <c r="G12" s="39" t="s">
        <v>65</v>
      </c>
      <c r="L12" s="39" t="s">
        <v>66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500.0</v>
      </c>
      <c r="AE12" s="39">
        <v>1.0</v>
      </c>
    </row>
    <row r="13">
      <c r="A13" s="20" t="s">
        <v>947</v>
      </c>
      <c r="D13" s="39" t="s">
        <v>499</v>
      </c>
      <c r="E13" s="39" t="s">
        <v>9</v>
      </c>
      <c r="F13" s="39" t="s">
        <v>397</v>
      </c>
      <c r="G13" s="39" t="s">
        <v>948</v>
      </c>
      <c r="H13" s="39" t="s">
        <v>948</v>
      </c>
      <c r="L13" s="39" t="s">
        <v>102</v>
      </c>
      <c r="N13" s="39" t="s">
        <v>119</v>
      </c>
      <c r="O13" s="39" t="s">
        <v>68</v>
      </c>
      <c r="Q13" s="39">
        <v>0.0</v>
      </c>
      <c r="R13" s="39">
        <v>1.0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400.0</v>
      </c>
      <c r="AE13" s="39">
        <v>1.0</v>
      </c>
    </row>
    <row r="14">
      <c r="A14" s="20" t="s">
        <v>949</v>
      </c>
      <c r="D14" s="39" t="s">
        <v>499</v>
      </c>
      <c r="E14" s="39" t="s">
        <v>9</v>
      </c>
      <c r="F14" s="39" t="s">
        <v>397</v>
      </c>
      <c r="G14" s="39" t="s">
        <v>950</v>
      </c>
      <c r="H14" s="39" t="s">
        <v>950</v>
      </c>
      <c r="L14" s="39" t="s">
        <v>102</v>
      </c>
      <c r="N14" s="39" t="s">
        <v>119</v>
      </c>
      <c r="O14" s="39" t="s">
        <v>68</v>
      </c>
      <c r="Q14" s="39">
        <v>0.0</v>
      </c>
      <c r="R14" s="39">
        <v>1.0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500.0</v>
      </c>
      <c r="AE14" s="39">
        <v>1.0</v>
      </c>
    </row>
    <row r="15">
      <c r="A15" s="20" t="s">
        <v>951</v>
      </c>
      <c r="B15" s="39" t="s">
        <v>343</v>
      </c>
      <c r="C15" s="39" t="s">
        <v>895</v>
      </c>
      <c r="D15" s="39" t="s">
        <v>499</v>
      </c>
      <c r="E15" s="39" t="s">
        <v>9</v>
      </c>
      <c r="F15" s="39" t="s">
        <v>397</v>
      </c>
      <c r="G15" s="39" t="s">
        <v>662</v>
      </c>
      <c r="L15" s="39" t="s">
        <v>66</v>
      </c>
      <c r="N15" s="39" t="s">
        <v>81</v>
      </c>
      <c r="O15" s="39" t="s">
        <v>68</v>
      </c>
      <c r="Q15" s="39">
        <v>1.0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500.0</v>
      </c>
      <c r="AE15" s="39">
        <v>1.0</v>
      </c>
    </row>
    <row r="16">
      <c r="A16" s="20" t="s">
        <v>952</v>
      </c>
      <c r="D16" s="39" t="s">
        <v>499</v>
      </c>
      <c r="E16" s="39" t="s">
        <v>9</v>
      </c>
      <c r="F16" s="39" t="s">
        <v>397</v>
      </c>
      <c r="G16" s="39" t="s">
        <v>953</v>
      </c>
      <c r="H16" s="39" t="s">
        <v>953</v>
      </c>
      <c r="L16" s="39" t="s">
        <v>102</v>
      </c>
      <c r="N16" s="39" t="s">
        <v>119</v>
      </c>
      <c r="O16" s="39" t="s">
        <v>68</v>
      </c>
      <c r="Q16" s="39">
        <v>0.0</v>
      </c>
      <c r="R16" s="39">
        <v>1.0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600.0</v>
      </c>
      <c r="AE16" s="39">
        <v>1.0</v>
      </c>
    </row>
    <row r="17">
      <c r="A17" s="20" t="s">
        <v>954</v>
      </c>
      <c r="D17" s="39" t="s">
        <v>499</v>
      </c>
      <c r="E17" s="39" t="s">
        <v>9</v>
      </c>
      <c r="F17" s="39" t="s">
        <v>397</v>
      </c>
      <c r="G17" s="39" t="s">
        <v>955</v>
      </c>
      <c r="H17" s="39" t="s">
        <v>955</v>
      </c>
      <c r="L17" s="39" t="s">
        <v>102</v>
      </c>
      <c r="N17" s="39" t="s">
        <v>119</v>
      </c>
      <c r="O17" s="39" t="s">
        <v>68</v>
      </c>
      <c r="Q17" s="39">
        <v>0.0</v>
      </c>
      <c r="R17" s="39">
        <v>1.0</v>
      </c>
      <c r="S17" s="39">
        <v>0.0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600.0</v>
      </c>
      <c r="AE17" s="39">
        <v>1.0</v>
      </c>
    </row>
    <row r="18">
      <c r="A18" s="20" t="s">
        <v>956</v>
      </c>
      <c r="D18" s="39" t="s">
        <v>499</v>
      </c>
      <c r="E18" s="39" t="s">
        <v>9</v>
      </c>
      <c r="F18" s="39" t="s">
        <v>397</v>
      </c>
      <c r="G18" s="39" t="s">
        <v>957</v>
      </c>
      <c r="H18" s="39" t="s">
        <v>957</v>
      </c>
      <c r="L18" s="39" t="s">
        <v>102</v>
      </c>
      <c r="N18" s="39" t="s">
        <v>119</v>
      </c>
      <c r="O18" s="39" t="s">
        <v>68</v>
      </c>
      <c r="Q18" s="39">
        <v>0.0</v>
      </c>
      <c r="R18" s="39">
        <v>1.0</v>
      </c>
      <c r="S18" s="39">
        <v>0.0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500.0</v>
      </c>
      <c r="AE18" s="39">
        <v>1.0</v>
      </c>
    </row>
    <row r="19">
      <c r="A19" s="20" t="s">
        <v>958</v>
      </c>
      <c r="D19" s="39" t="s">
        <v>499</v>
      </c>
      <c r="E19" s="39" t="s">
        <v>9</v>
      </c>
      <c r="F19" s="39" t="s">
        <v>397</v>
      </c>
      <c r="G19" s="39" t="s">
        <v>959</v>
      </c>
      <c r="H19" s="39" t="s">
        <v>959</v>
      </c>
      <c r="L19" s="39" t="s">
        <v>102</v>
      </c>
      <c r="N19" s="39" t="s">
        <v>119</v>
      </c>
      <c r="O19" s="39" t="s">
        <v>81</v>
      </c>
      <c r="Q19" s="39">
        <v>0.0</v>
      </c>
      <c r="R19" s="39">
        <v>1.0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400.0</v>
      </c>
      <c r="AE19" s="39">
        <v>1.0</v>
      </c>
    </row>
    <row r="20">
      <c r="A20" s="20" t="s">
        <v>960</v>
      </c>
      <c r="D20" s="39" t="s">
        <v>499</v>
      </c>
      <c r="E20" s="39" t="s">
        <v>9</v>
      </c>
      <c r="F20" s="39" t="s">
        <v>397</v>
      </c>
      <c r="G20" s="39" t="s">
        <v>961</v>
      </c>
      <c r="H20" s="39" t="s">
        <v>961</v>
      </c>
      <c r="L20" s="39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400.0</v>
      </c>
      <c r="AE20" s="39">
        <v>1.0</v>
      </c>
    </row>
    <row r="21">
      <c r="A21" s="20" t="s">
        <v>962</v>
      </c>
      <c r="B21" s="39" t="s">
        <v>872</v>
      </c>
      <c r="C21" s="39" t="s">
        <v>873</v>
      </c>
      <c r="D21" s="39" t="s">
        <v>499</v>
      </c>
      <c r="E21" s="39" t="s">
        <v>9</v>
      </c>
      <c r="F21" s="39" t="s">
        <v>397</v>
      </c>
      <c r="G21" s="39" t="s">
        <v>963</v>
      </c>
      <c r="H21" s="39" t="s">
        <v>963</v>
      </c>
      <c r="L21" s="39" t="s">
        <v>66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1.0</v>
      </c>
      <c r="W21" s="39">
        <v>0.0</v>
      </c>
      <c r="X21" s="39">
        <v>1.0</v>
      </c>
      <c r="Y21" s="39">
        <v>0.0</v>
      </c>
      <c r="Z21" s="30" t="s">
        <v>964</v>
      </c>
      <c r="AA21" s="30" t="s">
        <v>115</v>
      </c>
      <c r="AC21" s="39">
        <v>600.0</v>
      </c>
      <c r="AE21" s="39">
        <v>1.0</v>
      </c>
    </row>
    <row r="22">
      <c r="A22" s="20" t="s">
        <v>965</v>
      </c>
      <c r="B22" s="39" t="s">
        <v>872</v>
      </c>
      <c r="C22" s="39" t="s">
        <v>873</v>
      </c>
      <c r="D22" s="39" t="s">
        <v>499</v>
      </c>
      <c r="E22" s="39" t="s">
        <v>9</v>
      </c>
      <c r="F22" s="39" t="s">
        <v>397</v>
      </c>
      <c r="G22" s="39" t="s">
        <v>966</v>
      </c>
      <c r="H22" s="39" t="s">
        <v>966</v>
      </c>
      <c r="L22" s="39" t="s">
        <v>66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600.0</v>
      </c>
      <c r="AE22" s="39">
        <v>1.0</v>
      </c>
    </row>
    <row r="23">
      <c r="A23" s="20" t="s">
        <v>967</v>
      </c>
      <c r="B23" s="39" t="s">
        <v>872</v>
      </c>
      <c r="C23" s="39" t="s">
        <v>873</v>
      </c>
      <c r="D23" s="39" t="s">
        <v>499</v>
      </c>
      <c r="E23" s="39" t="s">
        <v>9</v>
      </c>
      <c r="F23" s="39" t="s">
        <v>397</v>
      </c>
      <c r="G23" s="39" t="s">
        <v>662</v>
      </c>
      <c r="L23" s="39" t="s">
        <v>66</v>
      </c>
      <c r="N23" s="39" t="s">
        <v>81</v>
      </c>
      <c r="O23" s="39" t="s">
        <v>68</v>
      </c>
      <c r="Q23" s="39">
        <v>1.0</v>
      </c>
      <c r="R23" s="39">
        <v>0.0</v>
      </c>
      <c r="S23" s="39">
        <v>0.0</v>
      </c>
      <c r="T23" s="39">
        <v>0.0</v>
      </c>
      <c r="U23" s="39">
        <v>1.0</v>
      </c>
      <c r="V23" s="39">
        <v>0.0</v>
      </c>
      <c r="W23" s="39">
        <v>0.0</v>
      </c>
      <c r="X23" s="39">
        <v>0.0</v>
      </c>
      <c r="Y23" s="39">
        <v>0.0</v>
      </c>
      <c r="AC23" s="39">
        <v>600.0</v>
      </c>
      <c r="AE23" s="39">
        <v>1.0</v>
      </c>
    </row>
    <row r="24">
      <c r="A24" s="20" t="s">
        <v>968</v>
      </c>
      <c r="B24" s="39" t="s">
        <v>872</v>
      </c>
      <c r="C24" s="39" t="s">
        <v>873</v>
      </c>
      <c r="D24" s="39" t="s">
        <v>499</v>
      </c>
      <c r="E24" s="39" t="s">
        <v>9</v>
      </c>
      <c r="F24" s="39" t="s">
        <v>397</v>
      </c>
      <c r="G24" s="39" t="s">
        <v>969</v>
      </c>
      <c r="H24" s="39" t="s">
        <v>969</v>
      </c>
      <c r="L24" s="39" t="s">
        <v>66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500.0</v>
      </c>
      <c r="AE24" s="39">
        <v>1.0</v>
      </c>
    </row>
    <row r="25">
      <c r="A25" s="20" t="s">
        <v>970</v>
      </c>
      <c r="B25" s="39" t="s">
        <v>872</v>
      </c>
      <c r="C25" s="39" t="s">
        <v>873</v>
      </c>
      <c r="D25" s="39" t="s">
        <v>499</v>
      </c>
      <c r="E25" s="39" t="s">
        <v>9</v>
      </c>
      <c r="F25" s="39" t="s">
        <v>397</v>
      </c>
      <c r="G25" s="39" t="s">
        <v>971</v>
      </c>
      <c r="H25" s="39" t="s">
        <v>971</v>
      </c>
      <c r="L25" s="39" t="s">
        <v>66</v>
      </c>
      <c r="N25" s="39" t="s">
        <v>81</v>
      </c>
      <c r="O25" s="39" t="s">
        <v>68</v>
      </c>
      <c r="Q25" s="39">
        <v>1.0</v>
      </c>
      <c r="R25" s="39">
        <v>0.0</v>
      </c>
      <c r="S25" s="39">
        <v>0.0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500.0</v>
      </c>
      <c r="AE25" s="39">
        <v>1.0</v>
      </c>
    </row>
    <row r="26">
      <c r="A26" s="20" t="s">
        <v>972</v>
      </c>
      <c r="D26" s="39" t="s">
        <v>499</v>
      </c>
      <c r="E26" s="39" t="s">
        <v>9</v>
      </c>
      <c r="F26" s="39" t="s">
        <v>397</v>
      </c>
      <c r="G26" s="39" t="s">
        <v>973</v>
      </c>
      <c r="H26" s="39" t="s">
        <v>973</v>
      </c>
      <c r="L26" s="39" t="s">
        <v>102</v>
      </c>
      <c r="N26" s="39" t="s">
        <v>81</v>
      </c>
      <c r="O26" s="39" t="s">
        <v>81</v>
      </c>
      <c r="Q26" s="39">
        <v>1.0</v>
      </c>
      <c r="R26" s="39">
        <v>0.0</v>
      </c>
      <c r="S26" s="39">
        <v>0.0</v>
      </c>
      <c r="T26" s="39">
        <v>0.0</v>
      </c>
      <c r="U26" s="39">
        <v>1.0</v>
      </c>
      <c r="V26" s="39">
        <v>0.0</v>
      </c>
      <c r="W26" s="39">
        <v>0.0</v>
      </c>
      <c r="X26" s="39">
        <v>0.0</v>
      </c>
      <c r="Y26" s="39">
        <v>0.0</v>
      </c>
      <c r="AC26" s="39">
        <v>350.0</v>
      </c>
      <c r="AE26" s="39">
        <v>1.0</v>
      </c>
    </row>
    <row r="27">
      <c r="A27" s="20" t="s">
        <v>974</v>
      </c>
      <c r="D27" s="39" t="s">
        <v>499</v>
      </c>
      <c r="E27" s="39" t="s">
        <v>9</v>
      </c>
      <c r="F27" s="39" t="s">
        <v>397</v>
      </c>
      <c r="G27" s="39" t="s">
        <v>975</v>
      </c>
      <c r="H27" s="39" t="s">
        <v>975</v>
      </c>
      <c r="L27" s="39" t="s">
        <v>102</v>
      </c>
      <c r="N27" s="39" t="s">
        <v>67</v>
      </c>
      <c r="O27" s="39" t="s">
        <v>81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350.0</v>
      </c>
      <c r="AE27" s="39">
        <v>1.0</v>
      </c>
    </row>
    <row r="28">
      <c r="A28" s="20" t="s">
        <v>976</v>
      </c>
      <c r="D28" s="39" t="s">
        <v>499</v>
      </c>
      <c r="E28" s="39" t="s">
        <v>9</v>
      </c>
      <c r="F28" s="39" t="s">
        <v>397</v>
      </c>
      <c r="G28" s="39" t="s">
        <v>977</v>
      </c>
      <c r="H28" s="39" t="s">
        <v>977</v>
      </c>
      <c r="L28" s="39" t="s">
        <v>102</v>
      </c>
      <c r="N28" s="39" t="s">
        <v>67</v>
      </c>
      <c r="O28" s="39" t="s">
        <v>81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300.0</v>
      </c>
      <c r="AE28" s="39">
        <v>1.0</v>
      </c>
    </row>
    <row r="29">
      <c r="A29" s="20" t="s">
        <v>978</v>
      </c>
      <c r="D29" s="39" t="s">
        <v>499</v>
      </c>
      <c r="E29" s="39" t="s">
        <v>9</v>
      </c>
      <c r="F29" s="39" t="s">
        <v>397</v>
      </c>
      <c r="G29" s="39" t="s">
        <v>979</v>
      </c>
      <c r="H29" s="39" t="s">
        <v>979</v>
      </c>
      <c r="L29" s="39" t="s">
        <v>102</v>
      </c>
      <c r="N29" s="39" t="s">
        <v>67</v>
      </c>
      <c r="O29" s="39" t="s">
        <v>81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400.0</v>
      </c>
      <c r="AE29" s="39">
        <v>1.0</v>
      </c>
    </row>
    <row r="30">
      <c r="A30" s="20" t="s">
        <v>980</v>
      </c>
      <c r="D30" s="39" t="s">
        <v>499</v>
      </c>
      <c r="E30" s="39" t="s">
        <v>9</v>
      </c>
      <c r="F30" s="39" t="s">
        <v>397</v>
      </c>
      <c r="G30" s="39" t="s">
        <v>981</v>
      </c>
      <c r="H30" s="39" t="s">
        <v>981</v>
      </c>
      <c r="L30" s="39" t="s">
        <v>102</v>
      </c>
      <c r="N30" s="39" t="s">
        <v>67</v>
      </c>
      <c r="O30" s="39" t="s">
        <v>67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350.0</v>
      </c>
      <c r="AE30" s="39">
        <v>1.0</v>
      </c>
    </row>
    <row r="31">
      <c r="A31" s="20" t="s">
        <v>982</v>
      </c>
      <c r="D31" s="39" t="s">
        <v>499</v>
      </c>
      <c r="E31" s="39" t="s">
        <v>9</v>
      </c>
      <c r="F31" s="39" t="s">
        <v>397</v>
      </c>
      <c r="G31" s="39" t="s">
        <v>983</v>
      </c>
      <c r="H31" s="39" t="s">
        <v>983</v>
      </c>
      <c r="L31" s="39" t="s">
        <v>102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400.0</v>
      </c>
      <c r="AE31" s="39">
        <v>1.0</v>
      </c>
    </row>
    <row r="32">
      <c r="A32" s="20" t="s">
        <v>984</v>
      </c>
      <c r="D32" s="39" t="s">
        <v>499</v>
      </c>
      <c r="E32" s="39" t="s">
        <v>9</v>
      </c>
      <c r="F32" s="39" t="s">
        <v>397</v>
      </c>
      <c r="G32" s="39" t="s">
        <v>985</v>
      </c>
      <c r="H32" s="39" t="s">
        <v>985</v>
      </c>
      <c r="L32" s="39" t="s">
        <v>102</v>
      </c>
      <c r="N32" s="39" t="s">
        <v>67</v>
      </c>
      <c r="O32" s="39" t="s">
        <v>81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C32" s="39">
        <v>400.0</v>
      </c>
      <c r="AE32" s="39">
        <v>1.0</v>
      </c>
    </row>
    <row r="33">
      <c r="A33" s="20" t="s">
        <v>986</v>
      </c>
      <c r="D33" s="39" t="s">
        <v>499</v>
      </c>
      <c r="E33" s="39" t="s">
        <v>9</v>
      </c>
      <c r="F33" s="39" t="s">
        <v>397</v>
      </c>
      <c r="G33" s="39" t="s">
        <v>987</v>
      </c>
      <c r="H33" s="39" t="s">
        <v>987</v>
      </c>
      <c r="L33" s="39" t="s">
        <v>102</v>
      </c>
      <c r="N33" s="39" t="s">
        <v>67</v>
      </c>
      <c r="O33" s="39" t="s">
        <v>67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350.0</v>
      </c>
      <c r="AE33" s="39">
        <v>1.0</v>
      </c>
    </row>
    <row r="34">
      <c r="A34" s="20" t="s">
        <v>988</v>
      </c>
      <c r="D34" s="39" t="s">
        <v>499</v>
      </c>
      <c r="E34" s="39" t="s">
        <v>9</v>
      </c>
      <c r="F34" s="39" t="s">
        <v>397</v>
      </c>
      <c r="G34" s="39" t="s">
        <v>989</v>
      </c>
      <c r="H34" s="39" t="s">
        <v>989</v>
      </c>
      <c r="L34" s="39" t="s">
        <v>102</v>
      </c>
      <c r="N34" s="39" t="s">
        <v>67</v>
      </c>
      <c r="O34" s="39" t="s">
        <v>67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400.0</v>
      </c>
      <c r="AE34" s="39">
        <v>1.0</v>
      </c>
    </row>
    <row r="35">
      <c r="A35" s="20" t="s">
        <v>990</v>
      </c>
      <c r="B35" s="39" t="s">
        <v>839</v>
      </c>
      <c r="C35" s="39" t="s">
        <v>840</v>
      </c>
      <c r="D35" s="39" t="s">
        <v>499</v>
      </c>
      <c r="E35" s="39" t="s">
        <v>9</v>
      </c>
      <c r="F35" s="39" t="s">
        <v>397</v>
      </c>
      <c r="G35" s="39" t="s">
        <v>991</v>
      </c>
      <c r="L35" s="39" t="s">
        <v>66</v>
      </c>
      <c r="N35" s="39" t="s">
        <v>81</v>
      </c>
      <c r="O35" s="39" t="s">
        <v>68</v>
      </c>
      <c r="Q35" s="39">
        <v>1.0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1.0</v>
      </c>
      <c r="X35" s="39">
        <v>0.0</v>
      </c>
      <c r="Y35" s="39">
        <v>0.0</v>
      </c>
      <c r="AC35" s="39">
        <v>400.0</v>
      </c>
      <c r="AE35" s="39">
        <v>1.0</v>
      </c>
    </row>
    <row r="36">
      <c r="A36" s="20" t="s">
        <v>992</v>
      </c>
      <c r="D36" s="39" t="s">
        <v>499</v>
      </c>
      <c r="E36" s="39" t="s">
        <v>9</v>
      </c>
      <c r="F36" s="39" t="s">
        <v>397</v>
      </c>
      <c r="G36" s="39" t="s">
        <v>993</v>
      </c>
      <c r="H36" s="39" t="s">
        <v>993</v>
      </c>
      <c r="L36" s="39" t="s">
        <v>102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600.0</v>
      </c>
      <c r="AE36" s="39">
        <v>1.0</v>
      </c>
    </row>
    <row r="37">
      <c r="A37" s="20" t="s">
        <v>994</v>
      </c>
      <c r="D37" s="39" t="s">
        <v>499</v>
      </c>
      <c r="E37" s="39" t="s">
        <v>9</v>
      </c>
      <c r="F37" s="39" t="s">
        <v>397</v>
      </c>
      <c r="G37" s="39" t="s">
        <v>995</v>
      </c>
      <c r="H37" s="39" t="s">
        <v>995</v>
      </c>
      <c r="L37" s="39" t="s">
        <v>102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500.0</v>
      </c>
      <c r="AE37" s="39">
        <v>1.0</v>
      </c>
    </row>
    <row r="38">
      <c r="A38" s="20" t="s">
        <v>996</v>
      </c>
      <c r="D38" s="39" t="s">
        <v>499</v>
      </c>
      <c r="E38" s="39" t="s">
        <v>9</v>
      </c>
      <c r="F38" s="39" t="s">
        <v>397</v>
      </c>
      <c r="G38" s="39" t="s">
        <v>662</v>
      </c>
      <c r="L38" s="39" t="s">
        <v>102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600.0</v>
      </c>
      <c r="AE38" s="39">
        <v>1.0</v>
      </c>
    </row>
    <row r="39">
      <c r="A39" s="20" t="s">
        <v>997</v>
      </c>
      <c r="B39" s="39" t="s">
        <v>839</v>
      </c>
      <c r="C39" s="39" t="s">
        <v>840</v>
      </c>
      <c r="D39" s="39" t="s">
        <v>499</v>
      </c>
      <c r="E39" s="39" t="s">
        <v>9</v>
      </c>
      <c r="F39" s="39" t="s">
        <v>397</v>
      </c>
      <c r="G39" s="39" t="s">
        <v>998</v>
      </c>
      <c r="H39" s="39" t="s">
        <v>998</v>
      </c>
      <c r="L39" s="39" t="s">
        <v>66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600.0</v>
      </c>
      <c r="AE39" s="39">
        <v>1.0</v>
      </c>
    </row>
    <row r="40">
      <c r="A40" s="20" t="s">
        <v>999</v>
      </c>
      <c r="D40" s="39" t="s">
        <v>499</v>
      </c>
      <c r="E40" s="39" t="s">
        <v>9</v>
      </c>
      <c r="F40" s="39" t="s">
        <v>397</v>
      </c>
      <c r="G40" s="39" t="s">
        <v>1000</v>
      </c>
      <c r="H40" s="39" t="s">
        <v>1000</v>
      </c>
      <c r="L40" s="39" t="s">
        <v>102</v>
      </c>
      <c r="N40" s="39" t="s">
        <v>67</v>
      </c>
      <c r="O40" s="39" t="s">
        <v>81</v>
      </c>
      <c r="Q40" s="39">
        <v>0.0</v>
      </c>
      <c r="R40" s="39">
        <v>0.0</v>
      </c>
      <c r="S40" s="39">
        <v>1.0</v>
      </c>
      <c r="T40" s="39">
        <v>0.0</v>
      </c>
      <c r="U40" s="39">
        <v>1.0</v>
      </c>
      <c r="V40" s="39">
        <v>0.0</v>
      </c>
      <c r="W40" s="39">
        <v>0.0</v>
      </c>
      <c r="X40" s="39">
        <v>0.0</v>
      </c>
      <c r="Y40" s="39">
        <v>0.0</v>
      </c>
      <c r="AC40" s="39">
        <v>500.0</v>
      </c>
      <c r="AE40" s="39">
        <v>1.0</v>
      </c>
    </row>
    <row r="41">
      <c r="A41" s="20" t="s">
        <v>1001</v>
      </c>
      <c r="B41" s="39" t="s">
        <v>262</v>
      </c>
      <c r="C41" s="39" t="s">
        <v>263</v>
      </c>
      <c r="D41" s="39" t="s">
        <v>499</v>
      </c>
      <c r="E41" s="39" t="s">
        <v>9</v>
      </c>
      <c r="F41" s="39" t="s">
        <v>397</v>
      </c>
      <c r="G41" s="39" t="s">
        <v>1002</v>
      </c>
      <c r="H41" s="39" t="s">
        <v>1002</v>
      </c>
      <c r="L41" s="39" t="s">
        <v>66</v>
      </c>
      <c r="N41" s="39" t="s">
        <v>67</v>
      </c>
      <c r="O41" s="39" t="s">
        <v>81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1.0</v>
      </c>
      <c r="W41" s="39">
        <v>0.0</v>
      </c>
      <c r="X41" s="39">
        <v>1.0</v>
      </c>
      <c r="Y41" s="39">
        <v>0.0</v>
      </c>
      <c r="Z41" s="30" t="s">
        <v>1003</v>
      </c>
      <c r="AA41" s="30" t="s">
        <v>115</v>
      </c>
      <c r="AC41" s="39">
        <v>500.0</v>
      </c>
      <c r="AE41" s="39">
        <v>1.0</v>
      </c>
    </row>
    <row r="42">
      <c r="A42" s="20" t="s">
        <v>1004</v>
      </c>
      <c r="B42" s="39" t="s">
        <v>262</v>
      </c>
      <c r="C42" s="39" t="s">
        <v>263</v>
      </c>
      <c r="D42" s="39" t="s">
        <v>499</v>
      </c>
      <c r="E42" s="39" t="s">
        <v>9</v>
      </c>
      <c r="F42" s="39" t="s">
        <v>397</v>
      </c>
      <c r="G42" s="39" t="s">
        <v>1005</v>
      </c>
      <c r="H42" s="39" t="s">
        <v>1005</v>
      </c>
      <c r="L42" s="39" t="s">
        <v>66</v>
      </c>
      <c r="N42" s="39" t="s">
        <v>81</v>
      </c>
      <c r="O42" s="39" t="s">
        <v>68</v>
      </c>
      <c r="Q42" s="39">
        <v>1.0</v>
      </c>
      <c r="R42" s="39">
        <v>0.0</v>
      </c>
      <c r="S42" s="39">
        <v>0.0</v>
      </c>
      <c r="T42" s="39">
        <v>0.0</v>
      </c>
      <c r="U42" s="39">
        <v>0.0</v>
      </c>
      <c r="V42" s="39">
        <v>1.0</v>
      </c>
      <c r="W42" s="39">
        <v>0.0</v>
      </c>
      <c r="X42" s="39">
        <v>0.0</v>
      </c>
      <c r="Y42" s="39">
        <v>1.0</v>
      </c>
      <c r="Z42" s="30" t="s">
        <v>1006</v>
      </c>
      <c r="AA42" s="30" t="s">
        <v>97</v>
      </c>
      <c r="AC42" s="39">
        <v>600.0</v>
      </c>
      <c r="AE42" s="39">
        <v>1.0</v>
      </c>
    </row>
    <row r="43">
      <c r="A43" s="20" t="s">
        <v>1007</v>
      </c>
      <c r="B43" s="39" t="s">
        <v>262</v>
      </c>
      <c r="C43" s="39" t="s">
        <v>263</v>
      </c>
      <c r="D43" s="39" t="s">
        <v>499</v>
      </c>
      <c r="E43" s="39" t="s">
        <v>9</v>
      </c>
      <c r="F43" s="39" t="s">
        <v>397</v>
      </c>
      <c r="G43" s="39" t="s">
        <v>1008</v>
      </c>
      <c r="H43" s="39" t="s">
        <v>1008</v>
      </c>
      <c r="L43" s="39" t="s">
        <v>66</v>
      </c>
      <c r="N43" s="39" t="s">
        <v>67</v>
      </c>
      <c r="O43" s="39" t="s">
        <v>67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C43" s="39">
        <v>350.0</v>
      </c>
      <c r="AE43" s="39">
        <v>1.0</v>
      </c>
    </row>
    <row r="44">
      <c r="A44" s="20" t="s">
        <v>1009</v>
      </c>
      <c r="B44" s="39" t="s">
        <v>262</v>
      </c>
      <c r="C44" s="39" t="s">
        <v>263</v>
      </c>
      <c r="D44" s="39" t="s">
        <v>499</v>
      </c>
      <c r="E44" s="39" t="s">
        <v>9</v>
      </c>
      <c r="F44" s="39" t="s">
        <v>397</v>
      </c>
      <c r="G44" s="39" t="s">
        <v>1010</v>
      </c>
      <c r="L44" s="39" t="s">
        <v>66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1.0</v>
      </c>
      <c r="W44" s="39">
        <v>1.0</v>
      </c>
      <c r="X44" s="39">
        <v>1.0</v>
      </c>
      <c r="Y44" s="39">
        <v>0.0</v>
      </c>
      <c r="Z44" s="30" t="s">
        <v>1011</v>
      </c>
      <c r="AA44" s="30" t="s">
        <v>115</v>
      </c>
      <c r="AC44" s="39">
        <v>350.0</v>
      </c>
      <c r="AE44" s="39">
        <v>1.0</v>
      </c>
    </row>
    <row r="45">
      <c r="A45" s="20" t="s">
        <v>1012</v>
      </c>
      <c r="B45" s="39" t="s">
        <v>262</v>
      </c>
      <c r="C45" s="39" t="s">
        <v>263</v>
      </c>
      <c r="D45" s="39" t="s">
        <v>499</v>
      </c>
      <c r="E45" s="39" t="s">
        <v>9</v>
      </c>
      <c r="F45" s="39" t="s">
        <v>397</v>
      </c>
      <c r="G45" s="39" t="s">
        <v>1013</v>
      </c>
      <c r="H45" s="39" t="s">
        <v>1013</v>
      </c>
      <c r="L45" s="39" t="s">
        <v>66</v>
      </c>
      <c r="N45" s="39" t="s">
        <v>81</v>
      </c>
      <c r="O45" s="39" t="s">
        <v>68</v>
      </c>
      <c r="Q45" s="39">
        <v>1.0</v>
      </c>
      <c r="R45" s="39">
        <v>0.0</v>
      </c>
      <c r="S45" s="39">
        <v>0.0</v>
      </c>
      <c r="T45" s="39">
        <v>0.0</v>
      </c>
      <c r="U45" s="39">
        <v>1.0</v>
      </c>
      <c r="V45" s="39">
        <v>0.0</v>
      </c>
      <c r="W45" s="39">
        <v>0.0</v>
      </c>
      <c r="X45" s="39">
        <v>0.0</v>
      </c>
      <c r="Y45" s="39">
        <v>0.0</v>
      </c>
      <c r="AC45" s="39">
        <v>350.0</v>
      </c>
      <c r="AE45" s="39">
        <v>1.0</v>
      </c>
    </row>
    <row r="46">
      <c r="A46" s="20" t="s">
        <v>1014</v>
      </c>
      <c r="B46" s="39" t="s">
        <v>262</v>
      </c>
      <c r="C46" s="39" t="s">
        <v>263</v>
      </c>
      <c r="D46" s="39" t="s">
        <v>499</v>
      </c>
      <c r="E46" s="39" t="s">
        <v>9</v>
      </c>
      <c r="F46" s="39" t="s">
        <v>397</v>
      </c>
      <c r="G46" s="39" t="s">
        <v>1015</v>
      </c>
      <c r="H46" s="39" t="s">
        <v>1015</v>
      </c>
      <c r="L46" s="39" t="s">
        <v>66</v>
      </c>
      <c r="N46" s="39" t="s">
        <v>67</v>
      </c>
      <c r="O46" s="39" t="s">
        <v>67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400.0</v>
      </c>
      <c r="AE46" s="39">
        <v>1.0</v>
      </c>
    </row>
    <row r="47">
      <c r="A47" s="20" t="s">
        <v>1016</v>
      </c>
      <c r="D47" s="39" t="s">
        <v>499</v>
      </c>
      <c r="E47" s="39" t="s">
        <v>9</v>
      </c>
      <c r="F47" s="39" t="s">
        <v>397</v>
      </c>
      <c r="G47" s="39" t="s">
        <v>1017</v>
      </c>
      <c r="H47" s="39" t="s">
        <v>1017</v>
      </c>
      <c r="L47" s="39" t="s">
        <v>102</v>
      </c>
      <c r="N47" s="39" t="s">
        <v>119</v>
      </c>
      <c r="O47" s="39" t="s">
        <v>68</v>
      </c>
      <c r="Q47" s="39">
        <v>0.0</v>
      </c>
      <c r="R47" s="39">
        <v>1.0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400.0</v>
      </c>
      <c r="AE47" s="39">
        <v>1.0</v>
      </c>
    </row>
    <row r="48">
      <c r="A48" s="20" t="s">
        <v>1018</v>
      </c>
      <c r="B48" s="39" t="s">
        <v>252</v>
      </c>
      <c r="C48" s="39" t="s">
        <v>253</v>
      </c>
      <c r="D48" s="39" t="s">
        <v>499</v>
      </c>
      <c r="E48" s="39" t="s">
        <v>9</v>
      </c>
      <c r="F48" s="39" t="s">
        <v>397</v>
      </c>
      <c r="G48" s="39" t="s">
        <v>1019</v>
      </c>
      <c r="H48" s="39" t="s">
        <v>1019</v>
      </c>
      <c r="L48" s="39" t="s">
        <v>66</v>
      </c>
      <c r="N48" s="39" t="s">
        <v>119</v>
      </c>
      <c r="O48" s="39" t="s">
        <v>68</v>
      </c>
      <c r="Q48" s="39">
        <v>0.0</v>
      </c>
      <c r="R48" s="39">
        <v>1.0</v>
      </c>
      <c r="S48" s="39">
        <v>0.0</v>
      </c>
      <c r="T48" s="39">
        <v>0.0</v>
      </c>
      <c r="U48" s="39">
        <v>0.0</v>
      </c>
      <c r="V48" s="39">
        <v>1.0</v>
      </c>
      <c r="W48" s="39">
        <v>0.0</v>
      </c>
      <c r="X48" s="39">
        <v>1.0</v>
      </c>
      <c r="Y48" s="39">
        <v>0.0</v>
      </c>
      <c r="Z48" s="30" t="s">
        <v>964</v>
      </c>
      <c r="AA48" s="30" t="s">
        <v>115</v>
      </c>
      <c r="AC48" s="39">
        <v>600.0</v>
      </c>
      <c r="AE48" s="39">
        <v>1.0</v>
      </c>
    </row>
    <row r="49">
      <c r="A49" s="20" t="s">
        <v>1020</v>
      </c>
      <c r="B49" s="39" t="s">
        <v>252</v>
      </c>
      <c r="C49" s="39" t="s">
        <v>253</v>
      </c>
      <c r="D49" s="39" t="s">
        <v>499</v>
      </c>
      <c r="E49" s="39" t="s">
        <v>9</v>
      </c>
      <c r="F49" s="39" t="s">
        <v>397</v>
      </c>
      <c r="G49" s="39" t="s">
        <v>1021</v>
      </c>
      <c r="H49" s="39" t="s">
        <v>1021</v>
      </c>
      <c r="L49" s="39" t="s">
        <v>66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600.0</v>
      </c>
      <c r="AE49" s="39">
        <v>1.0</v>
      </c>
    </row>
    <row r="50">
      <c r="A50" s="20" t="s">
        <v>1022</v>
      </c>
      <c r="D50" s="39" t="s">
        <v>499</v>
      </c>
      <c r="E50" s="39" t="s">
        <v>9</v>
      </c>
      <c r="F50" s="39" t="s">
        <v>397</v>
      </c>
      <c r="G50" s="39" t="s">
        <v>662</v>
      </c>
      <c r="L50" s="39" t="s">
        <v>102</v>
      </c>
      <c r="N50" s="39" t="s">
        <v>67</v>
      </c>
      <c r="O50" s="39" t="s">
        <v>67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200.0</v>
      </c>
      <c r="AE50" s="39">
        <v>1.0</v>
      </c>
    </row>
    <row r="51">
      <c r="A51" s="20" t="s">
        <v>1023</v>
      </c>
      <c r="D51" s="39" t="s">
        <v>499</v>
      </c>
      <c r="E51" s="39" t="s">
        <v>9</v>
      </c>
      <c r="F51" s="39" t="s">
        <v>397</v>
      </c>
      <c r="G51" s="39" t="s">
        <v>1024</v>
      </c>
      <c r="H51" s="39" t="s">
        <v>1024</v>
      </c>
      <c r="L51" s="39" t="s">
        <v>102</v>
      </c>
      <c r="N51" s="39" t="s">
        <v>119</v>
      </c>
      <c r="O51" s="39" t="s">
        <v>67</v>
      </c>
      <c r="Q51" s="39">
        <v>0.0</v>
      </c>
      <c r="R51" s="39">
        <v>1.0</v>
      </c>
      <c r="S51" s="39">
        <v>0.0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600.0</v>
      </c>
      <c r="AE51" s="39">
        <v>1.0</v>
      </c>
    </row>
    <row r="52">
      <c r="A52" s="20" t="s">
        <v>1025</v>
      </c>
      <c r="D52" s="39" t="s">
        <v>499</v>
      </c>
      <c r="E52" s="39" t="s">
        <v>9</v>
      </c>
      <c r="F52" s="39" t="s">
        <v>397</v>
      </c>
      <c r="G52" s="39" t="s">
        <v>1026</v>
      </c>
      <c r="H52" s="39" t="s">
        <v>1026</v>
      </c>
      <c r="L52" s="39" t="s">
        <v>102</v>
      </c>
      <c r="N52" s="39" t="s">
        <v>119</v>
      </c>
      <c r="O52" s="39" t="s">
        <v>67</v>
      </c>
      <c r="Q52" s="39">
        <v>0.0</v>
      </c>
      <c r="R52" s="39">
        <v>1.0</v>
      </c>
      <c r="S52" s="39">
        <v>0.0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600.0</v>
      </c>
      <c r="AE52" s="39">
        <v>1.0</v>
      </c>
    </row>
    <row r="53">
      <c r="A53" s="20" t="s">
        <v>1027</v>
      </c>
      <c r="D53" s="39" t="s">
        <v>499</v>
      </c>
      <c r="E53" s="39" t="s">
        <v>9</v>
      </c>
      <c r="F53" s="39" t="s">
        <v>397</v>
      </c>
      <c r="G53" s="39" t="s">
        <v>1028</v>
      </c>
      <c r="H53" s="39" t="s">
        <v>1028</v>
      </c>
      <c r="L53" s="39" t="s">
        <v>102</v>
      </c>
      <c r="N53" s="39" t="s">
        <v>81</v>
      </c>
      <c r="O53" s="39" t="s">
        <v>68</v>
      </c>
      <c r="Q53" s="39">
        <v>1.0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C53" s="39">
        <v>400.0</v>
      </c>
      <c r="AE53" s="39">
        <v>1.0</v>
      </c>
    </row>
    <row r="54">
      <c r="A54" s="20" t="s">
        <v>1029</v>
      </c>
      <c r="D54" s="39" t="s">
        <v>499</v>
      </c>
      <c r="E54" s="39" t="s">
        <v>9</v>
      </c>
      <c r="F54" s="39" t="s">
        <v>397</v>
      </c>
      <c r="G54" s="39" t="s">
        <v>1030</v>
      </c>
      <c r="H54" s="39" t="s">
        <v>1030</v>
      </c>
      <c r="L54" s="39" t="s">
        <v>102</v>
      </c>
      <c r="N54" s="39" t="s">
        <v>119</v>
      </c>
      <c r="O54" s="39" t="s">
        <v>81</v>
      </c>
      <c r="Q54" s="39">
        <v>0.0</v>
      </c>
      <c r="R54" s="39">
        <v>1.0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200.0</v>
      </c>
      <c r="AE54" s="39">
        <v>1.0</v>
      </c>
    </row>
    <row r="55">
      <c r="A55" s="20" t="s">
        <v>1031</v>
      </c>
      <c r="D55" s="39" t="s">
        <v>499</v>
      </c>
      <c r="E55" s="39" t="s">
        <v>9</v>
      </c>
      <c r="F55" s="39" t="s">
        <v>397</v>
      </c>
      <c r="G55" s="39" t="s">
        <v>1032</v>
      </c>
      <c r="H55" s="39" t="s">
        <v>1032</v>
      </c>
      <c r="L55" s="39" t="s">
        <v>102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500.0</v>
      </c>
      <c r="AE55" s="39">
        <v>1.0</v>
      </c>
    </row>
    <row r="56">
      <c r="A56" s="20" t="s">
        <v>1033</v>
      </c>
      <c r="B56" s="39" t="s">
        <v>236</v>
      </c>
      <c r="C56" s="39" t="s">
        <v>237</v>
      </c>
      <c r="D56" s="39" t="s">
        <v>499</v>
      </c>
      <c r="E56" s="39" t="s">
        <v>9</v>
      </c>
      <c r="F56" s="39" t="s">
        <v>397</v>
      </c>
      <c r="G56" s="39" t="s">
        <v>1034</v>
      </c>
      <c r="H56" s="39" t="s">
        <v>1034</v>
      </c>
      <c r="L56" s="39" t="s">
        <v>66</v>
      </c>
      <c r="N56" s="39" t="s">
        <v>119</v>
      </c>
      <c r="O56" s="39" t="s">
        <v>68</v>
      </c>
      <c r="Q56" s="39">
        <v>0.0</v>
      </c>
      <c r="R56" s="39">
        <v>1.0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600.0</v>
      </c>
      <c r="AE56" s="39">
        <v>1.0</v>
      </c>
    </row>
    <row r="57">
      <c r="A57" s="20" t="s">
        <v>1035</v>
      </c>
      <c r="D57" s="39" t="s">
        <v>499</v>
      </c>
      <c r="E57" s="39" t="s">
        <v>9</v>
      </c>
      <c r="F57" s="39" t="s">
        <v>397</v>
      </c>
      <c r="G57" s="39" t="s">
        <v>1036</v>
      </c>
      <c r="H57" s="39" t="s">
        <v>1036</v>
      </c>
      <c r="L57" s="39" t="s">
        <v>102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300.0</v>
      </c>
      <c r="AE57" s="39">
        <v>1.0</v>
      </c>
    </row>
    <row r="58">
      <c r="A58" s="20" t="s">
        <v>1037</v>
      </c>
      <c r="D58" s="39" t="s">
        <v>499</v>
      </c>
      <c r="E58" s="39" t="s">
        <v>9</v>
      </c>
      <c r="F58" s="39" t="s">
        <v>397</v>
      </c>
      <c r="G58" s="39" t="s">
        <v>1038</v>
      </c>
      <c r="H58" s="39" t="s">
        <v>1038</v>
      </c>
      <c r="L58" s="39" t="s">
        <v>102</v>
      </c>
      <c r="N58" s="39" t="s">
        <v>119</v>
      </c>
      <c r="O58" s="39" t="s">
        <v>68</v>
      </c>
      <c r="Q58" s="39">
        <v>0.0</v>
      </c>
      <c r="R58" s="39">
        <v>1.0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500.0</v>
      </c>
      <c r="AE58" s="39">
        <v>1.0</v>
      </c>
    </row>
    <row r="59">
      <c r="A59" s="20" t="s">
        <v>1039</v>
      </c>
      <c r="D59" s="39" t="s">
        <v>499</v>
      </c>
      <c r="E59" s="39" t="s">
        <v>9</v>
      </c>
      <c r="F59" s="39" t="s">
        <v>397</v>
      </c>
      <c r="G59" s="39" t="s">
        <v>1040</v>
      </c>
      <c r="H59" s="39" t="s">
        <v>1040</v>
      </c>
      <c r="L59" s="39" t="s">
        <v>102</v>
      </c>
      <c r="N59" s="39" t="s">
        <v>119</v>
      </c>
      <c r="O59" s="39" t="s">
        <v>68</v>
      </c>
      <c r="Q59" s="39">
        <v>0.0</v>
      </c>
      <c r="R59" s="39">
        <v>1.0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500.0</v>
      </c>
      <c r="AE59" s="39">
        <v>1.0</v>
      </c>
    </row>
    <row r="60">
      <c r="A60" s="20" t="s">
        <v>1041</v>
      </c>
      <c r="D60" s="39" t="s">
        <v>499</v>
      </c>
      <c r="E60" s="39" t="s">
        <v>9</v>
      </c>
      <c r="F60" s="39" t="s">
        <v>397</v>
      </c>
      <c r="G60" s="39" t="s">
        <v>1042</v>
      </c>
      <c r="H60" s="39" t="s">
        <v>1042</v>
      </c>
      <c r="L60" s="39" t="s">
        <v>102</v>
      </c>
      <c r="N60" s="39" t="s">
        <v>119</v>
      </c>
      <c r="O60" s="39" t="s">
        <v>68</v>
      </c>
      <c r="Q60" s="39">
        <v>0.0</v>
      </c>
      <c r="R60" s="39">
        <v>1.0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400.0</v>
      </c>
      <c r="AE60" s="39">
        <v>1.0</v>
      </c>
    </row>
    <row r="61">
      <c r="A61" s="20" t="s">
        <v>1043</v>
      </c>
      <c r="D61" s="39" t="s">
        <v>499</v>
      </c>
      <c r="E61" s="39" t="s">
        <v>9</v>
      </c>
      <c r="F61" s="39" t="s">
        <v>397</v>
      </c>
      <c r="G61" s="39" t="s">
        <v>1044</v>
      </c>
      <c r="H61" s="39" t="s">
        <v>1044</v>
      </c>
      <c r="L61" s="39" t="s">
        <v>102</v>
      </c>
      <c r="N61" s="39" t="s">
        <v>81</v>
      </c>
      <c r="O61" s="39" t="s">
        <v>67</v>
      </c>
      <c r="Q61" s="39">
        <v>1.0</v>
      </c>
      <c r="R61" s="39">
        <v>0.0</v>
      </c>
      <c r="S61" s="39">
        <v>0.0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350.0</v>
      </c>
      <c r="AE61" s="39">
        <v>1.0</v>
      </c>
    </row>
    <row r="62">
      <c r="A62" s="20" t="s">
        <v>1045</v>
      </c>
      <c r="D62" s="39" t="s">
        <v>499</v>
      </c>
      <c r="E62" s="39" t="s">
        <v>9</v>
      </c>
      <c r="F62" s="39" t="s">
        <v>397</v>
      </c>
      <c r="G62" s="39" t="s">
        <v>1044</v>
      </c>
      <c r="H62" s="39" t="s">
        <v>1044</v>
      </c>
      <c r="L62" s="39" t="s">
        <v>102</v>
      </c>
      <c r="N62" s="39" t="s">
        <v>119</v>
      </c>
      <c r="O62" s="39" t="s">
        <v>68</v>
      </c>
      <c r="Q62" s="39">
        <v>0.0</v>
      </c>
      <c r="R62" s="39">
        <v>1.0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500.0</v>
      </c>
      <c r="AE62" s="39">
        <v>1.0</v>
      </c>
    </row>
    <row r="63">
      <c r="A63" s="20" t="s">
        <v>1046</v>
      </c>
      <c r="B63" s="39" t="s">
        <v>215</v>
      </c>
      <c r="C63" s="39" t="s">
        <v>1047</v>
      </c>
      <c r="D63" s="39" t="s">
        <v>499</v>
      </c>
      <c r="E63" s="39" t="s">
        <v>9</v>
      </c>
      <c r="F63" s="39" t="s">
        <v>397</v>
      </c>
      <c r="G63" s="39" t="s">
        <v>1048</v>
      </c>
      <c r="H63" s="39" t="s">
        <v>1048</v>
      </c>
      <c r="L63" s="39" t="s">
        <v>66</v>
      </c>
      <c r="N63" s="39" t="s">
        <v>67</v>
      </c>
      <c r="O63" s="39" t="s">
        <v>68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AC63" s="39">
        <v>600.0</v>
      </c>
      <c r="AE63" s="39">
        <v>1.0</v>
      </c>
    </row>
    <row r="64">
      <c r="A64" s="20" t="s">
        <v>1049</v>
      </c>
      <c r="B64" s="39" t="s">
        <v>215</v>
      </c>
      <c r="C64" s="39" t="s">
        <v>1047</v>
      </c>
      <c r="D64" s="39" t="s">
        <v>499</v>
      </c>
      <c r="E64" s="39" t="s">
        <v>9</v>
      </c>
      <c r="F64" s="39" t="s">
        <v>397</v>
      </c>
      <c r="G64" s="39" t="s">
        <v>662</v>
      </c>
      <c r="L64" s="39" t="s">
        <v>66</v>
      </c>
      <c r="N64" s="39" t="s">
        <v>67</v>
      </c>
      <c r="O64" s="39" t="s">
        <v>81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AC64" s="39">
        <v>300.0</v>
      </c>
      <c r="AE64" s="39">
        <v>1.0</v>
      </c>
    </row>
    <row r="65">
      <c r="A65" s="20" t="s">
        <v>1050</v>
      </c>
      <c r="D65" s="39" t="s">
        <v>499</v>
      </c>
      <c r="E65" s="39" t="s">
        <v>9</v>
      </c>
      <c r="F65" s="39" t="s">
        <v>397</v>
      </c>
      <c r="G65" s="39" t="s">
        <v>1051</v>
      </c>
      <c r="H65" s="39" t="s">
        <v>1051</v>
      </c>
      <c r="L65" s="39" t="s">
        <v>102</v>
      </c>
      <c r="N65" s="39" t="s">
        <v>119</v>
      </c>
      <c r="O65" s="39" t="s">
        <v>81</v>
      </c>
      <c r="Q65" s="39">
        <v>0.0</v>
      </c>
      <c r="R65" s="39">
        <v>1.0</v>
      </c>
      <c r="S65" s="39">
        <v>0.0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AC65" s="39">
        <v>300.0</v>
      </c>
      <c r="AE65" s="39">
        <v>1.0</v>
      </c>
    </row>
    <row r="66">
      <c r="A66" s="20" t="s">
        <v>1052</v>
      </c>
      <c r="D66" s="39" t="s">
        <v>499</v>
      </c>
      <c r="E66" s="39" t="s">
        <v>9</v>
      </c>
      <c r="F66" s="39" t="s">
        <v>397</v>
      </c>
      <c r="G66" s="39" t="s">
        <v>1053</v>
      </c>
      <c r="H66" s="39" t="s">
        <v>1053</v>
      </c>
      <c r="L66" s="39" t="s">
        <v>102</v>
      </c>
      <c r="N66" s="39" t="s">
        <v>119</v>
      </c>
      <c r="O66" s="39" t="s">
        <v>81</v>
      </c>
      <c r="Q66" s="39">
        <v>0.0</v>
      </c>
      <c r="R66" s="39">
        <v>1.0</v>
      </c>
      <c r="S66" s="39">
        <v>0.0</v>
      </c>
      <c r="T66" s="39">
        <v>0.0</v>
      </c>
      <c r="U66" s="39">
        <v>0.0</v>
      </c>
      <c r="V66" s="39">
        <v>0.0</v>
      </c>
      <c r="W66" s="39">
        <v>0.0</v>
      </c>
      <c r="X66" s="39">
        <v>0.0</v>
      </c>
      <c r="Y66" s="39">
        <v>0.0</v>
      </c>
      <c r="AC66" s="39">
        <v>350.0</v>
      </c>
      <c r="AE66" s="39">
        <v>1.0</v>
      </c>
    </row>
    <row r="67">
      <c r="A67" s="20" t="s">
        <v>1054</v>
      </c>
      <c r="D67" s="39" t="s">
        <v>499</v>
      </c>
      <c r="E67" s="39" t="s">
        <v>9</v>
      </c>
      <c r="F67" s="39" t="s">
        <v>397</v>
      </c>
      <c r="G67" s="39" t="s">
        <v>1055</v>
      </c>
      <c r="H67" s="39" t="s">
        <v>1055</v>
      </c>
      <c r="L67" s="39" t="s">
        <v>102</v>
      </c>
      <c r="N67" s="39" t="s">
        <v>119</v>
      </c>
      <c r="O67" s="39" t="s">
        <v>81</v>
      </c>
      <c r="Q67" s="39">
        <v>0.0</v>
      </c>
      <c r="R67" s="39">
        <v>1.0</v>
      </c>
      <c r="S67" s="39">
        <v>0.0</v>
      </c>
      <c r="T67" s="39">
        <v>0.0</v>
      </c>
      <c r="U67" s="39">
        <v>0.0</v>
      </c>
      <c r="V67" s="39">
        <v>0.0</v>
      </c>
      <c r="W67" s="39">
        <v>0.0</v>
      </c>
      <c r="X67" s="39">
        <v>0.0</v>
      </c>
      <c r="Y67" s="39">
        <v>0.0</v>
      </c>
      <c r="AC67" s="39">
        <v>350.0</v>
      </c>
      <c r="AE67" s="39">
        <v>1.0</v>
      </c>
    </row>
    <row r="68">
      <c r="A68" s="20" t="s">
        <v>1056</v>
      </c>
      <c r="D68" s="39" t="s">
        <v>499</v>
      </c>
      <c r="E68" s="39" t="s">
        <v>9</v>
      </c>
      <c r="F68" s="39" t="s">
        <v>397</v>
      </c>
      <c r="G68" s="39" t="s">
        <v>1057</v>
      </c>
      <c r="H68" s="39" t="s">
        <v>1057</v>
      </c>
      <c r="L68" s="39" t="s">
        <v>102</v>
      </c>
      <c r="N68" s="39" t="s">
        <v>119</v>
      </c>
      <c r="O68" s="39" t="s">
        <v>68</v>
      </c>
      <c r="Q68" s="39">
        <v>0.0</v>
      </c>
      <c r="R68" s="39">
        <v>1.0</v>
      </c>
      <c r="S68" s="39">
        <v>0.0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AC68" s="39">
        <v>500.0</v>
      </c>
      <c r="AE68" s="39">
        <v>1.0</v>
      </c>
    </row>
    <row r="69">
      <c r="A69" s="20" t="s">
        <v>1058</v>
      </c>
      <c r="D69" s="39" t="s">
        <v>499</v>
      </c>
      <c r="E69" s="39" t="s">
        <v>9</v>
      </c>
      <c r="F69" s="39" t="s">
        <v>397</v>
      </c>
      <c r="G69" s="39" t="s">
        <v>1059</v>
      </c>
      <c r="H69" s="39" t="s">
        <v>1059</v>
      </c>
      <c r="L69" s="39" t="s">
        <v>102</v>
      </c>
      <c r="N69" s="39" t="s">
        <v>119</v>
      </c>
      <c r="O69" s="39" t="s">
        <v>68</v>
      </c>
      <c r="Q69" s="39">
        <v>0.0</v>
      </c>
      <c r="R69" s="39">
        <v>1.0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AC69" s="39">
        <v>600.0</v>
      </c>
      <c r="AE69" s="39">
        <v>1.0</v>
      </c>
    </row>
    <row r="70">
      <c r="A70" s="20" t="s">
        <v>1060</v>
      </c>
      <c r="D70" s="39" t="s">
        <v>499</v>
      </c>
      <c r="E70" s="39" t="s">
        <v>9</v>
      </c>
      <c r="F70" s="39" t="s">
        <v>397</v>
      </c>
      <c r="G70" s="39" t="s">
        <v>1061</v>
      </c>
      <c r="H70" s="39" t="s">
        <v>1061</v>
      </c>
      <c r="L70" s="39" t="s">
        <v>102</v>
      </c>
      <c r="N70" s="39" t="s">
        <v>119</v>
      </c>
      <c r="O70" s="39" t="s">
        <v>81</v>
      </c>
      <c r="Q70" s="39">
        <v>0.0</v>
      </c>
      <c r="R70" s="39">
        <v>1.0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AC70" s="39">
        <v>400.0</v>
      </c>
      <c r="AE70" s="39">
        <v>1.0</v>
      </c>
    </row>
    <row r="71">
      <c r="A71" s="20" t="s">
        <v>1062</v>
      </c>
      <c r="B71" s="39" t="s">
        <v>559</v>
      </c>
      <c r="C71" s="39" t="s">
        <v>756</v>
      </c>
      <c r="D71" s="39" t="s">
        <v>499</v>
      </c>
      <c r="E71" s="39" t="s">
        <v>9</v>
      </c>
      <c r="F71" s="39" t="s">
        <v>397</v>
      </c>
      <c r="G71" s="39" t="s">
        <v>1063</v>
      </c>
      <c r="H71" s="39" t="s">
        <v>1063</v>
      </c>
      <c r="L71" s="39" t="s">
        <v>66</v>
      </c>
      <c r="N71" s="39" t="s">
        <v>67</v>
      </c>
      <c r="O71" s="39" t="s">
        <v>81</v>
      </c>
      <c r="Q71" s="39">
        <v>0.0</v>
      </c>
      <c r="R71" s="39">
        <v>0.0</v>
      </c>
      <c r="S71" s="39">
        <v>1.0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AC71" s="39">
        <v>300.0</v>
      </c>
      <c r="AE71" s="39">
        <v>1.0</v>
      </c>
    </row>
    <row r="72">
      <c r="A72" s="20" t="s">
        <v>1064</v>
      </c>
      <c r="B72" s="39" t="s">
        <v>559</v>
      </c>
      <c r="C72" s="39" t="s">
        <v>756</v>
      </c>
      <c r="D72" s="39" t="s">
        <v>499</v>
      </c>
      <c r="E72" s="39" t="s">
        <v>9</v>
      </c>
      <c r="F72" s="39" t="s">
        <v>397</v>
      </c>
      <c r="G72" s="39" t="s">
        <v>662</v>
      </c>
      <c r="L72" s="39" t="s">
        <v>66</v>
      </c>
      <c r="N72" s="39" t="s">
        <v>67</v>
      </c>
      <c r="O72" s="39" t="s">
        <v>68</v>
      </c>
      <c r="Q72" s="39">
        <v>0.0</v>
      </c>
      <c r="R72" s="39">
        <v>0.0</v>
      </c>
      <c r="S72" s="39">
        <v>1.0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AC72" s="39">
        <v>350.0</v>
      </c>
      <c r="AE72" s="39">
        <v>1.0</v>
      </c>
    </row>
    <row r="73">
      <c r="A73" s="20" t="s">
        <v>1065</v>
      </c>
      <c r="B73" s="39" t="s">
        <v>559</v>
      </c>
      <c r="C73" s="39" t="s">
        <v>756</v>
      </c>
      <c r="D73" s="39" t="s">
        <v>499</v>
      </c>
      <c r="E73" s="39" t="s">
        <v>9</v>
      </c>
      <c r="F73" s="39" t="s">
        <v>397</v>
      </c>
      <c r="G73" s="39" t="s">
        <v>1066</v>
      </c>
      <c r="H73" s="39" t="s">
        <v>1066</v>
      </c>
      <c r="L73" s="39" t="s">
        <v>66</v>
      </c>
      <c r="N73" s="39" t="s">
        <v>67</v>
      </c>
      <c r="O73" s="39" t="s">
        <v>68</v>
      </c>
      <c r="Q73" s="39">
        <v>0.0</v>
      </c>
      <c r="R73" s="39">
        <v>0.0</v>
      </c>
      <c r="S73" s="39">
        <v>1.0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AC73" s="39">
        <v>400.0</v>
      </c>
      <c r="AE73" s="39">
        <v>1.0</v>
      </c>
    </row>
    <row r="74">
      <c r="A74" s="20" t="s">
        <v>1067</v>
      </c>
      <c r="B74" s="39" t="s">
        <v>559</v>
      </c>
      <c r="C74" s="39" t="s">
        <v>756</v>
      </c>
      <c r="D74" s="39" t="s">
        <v>499</v>
      </c>
      <c r="E74" s="39" t="s">
        <v>9</v>
      </c>
      <c r="F74" s="39" t="s">
        <v>397</v>
      </c>
      <c r="G74" s="39" t="s">
        <v>1068</v>
      </c>
      <c r="H74" s="39" t="s">
        <v>1068</v>
      </c>
      <c r="L74" s="39" t="s">
        <v>66</v>
      </c>
      <c r="N74" s="39" t="s">
        <v>119</v>
      </c>
      <c r="O74" s="39" t="s">
        <v>67</v>
      </c>
      <c r="Q74" s="39">
        <v>0.0</v>
      </c>
      <c r="R74" s="39">
        <v>1.0</v>
      </c>
      <c r="S74" s="39">
        <v>0.0</v>
      </c>
      <c r="T74" s="39">
        <v>0.0</v>
      </c>
      <c r="U74" s="39">
        <v>0.0</v>
      </c>
      <c r="V74" s="39">
        <v>1.0</v>
      </c>
      <c r="W74" s="39">
        <v>0.0</v>
      </c>
      <c r="X74" s="39">
        <v>1.0</v>
      </c>
      <c r="Y74" s="39">
        <v>0.0</v>
      </c>
      <c r="Z74" s="30" t="s">
        <v>964</v>
      </c>
      <c r="AA74" s="30" t="s">
        <v>115</v>
      </c>
      <c r="AC74" s="39">
        <v>600.0</v>
      </c>
      <c r="AE74" s="39">
        <v>1.0</v>
      </c>
    </row>
    <row r="75">
      <c r="A75" s="20" t="s">
        <v>1069</v>
      </c>
      <c r="B75" s="39" t="s">
        <v>559</v>
      </c>
      <c r="C75" s="39" t="s">
        <v>756</v>
      </c>
      <c r="D75" s="39" t="s">
        <v>499</v>
      </c>
      <c r="E75" s="39" t="s">
        <v>9</v>
      </c>
      <c r="F75" s="39" t="s">
        <v>397</v>
      </c>
      <c r="G75" s="39" t="s">
        <v>662</v>
      </c>
      <c r="L75" s="39" t="s">
        <v>66</v>
      </c>
      <c r="N75" s="39" t="s">
        <v>81</v>
      </c>
      <c r="O75" s="39" t="s">
        <v>68</v>
      </c>
      <c r="Q75" s="39">
        <v>1.0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1.0</v>
      </c>
      <c r="X75" s="39">
        <v>0.0</v>
      </c>
      <c r="Y75" s="39">
        <v>0.0</v>
      </c>
      <c r="AC75" s="39">
        <v>500.0</v>
      </c>
      <c r="AE75" s="39">
        <v>1.0</v>
      </c>
    </row>
    <row r="76">
      <c r="A76" s="20" t="s">
        <v>1070</v>
      </c>
      <c r="D76" s="39" t="s">
        <v>499</v>
      </c>
      <c r="E76" s="39" t="s">
        <v>9</v>
      </c>
      <c r="F76" s="39" t="s">
        <v>397</v>
      </c>
      <c r="G76" s="39" t="s">
        <v>1071</v>
      </c>
      <c r="H76" s="39" t="s">
        <v>1071</v>
      </c>
      <c r="L76" s="39" t="s">
        <v>102</v>
      </c>
      <c r="N76" s="39" t="s">
        <v>119</v>
      </c>
      <c r="O76" s="39" t="s">
        <v>68</v>
      </c>
      <c r="Q76" s="39">
        <v>0.0</v>
      </c>
      <c r="R76" s="39">
        <v>1.0</v>
      </c>
      <c r="S76" s="39">
        <v>0.0</v>
      </c>
      <c r="T76" s="39">
        <v>0.0</v>
      </c>
      <c r="U76" s="39">
        <v>0.0</v>
      </c>
      <c r="V76" s="39">
        <v>0.0</v>
      </c>
      <c r="W76" s="39">
        <v>0.0</v>
      </c>
      <c r="X76" s="39">
        <v>0.0</v>
      </c>
      <c r="Y76" s="39">
        <v>0.0</v>
      </c>
      <c r="AC76" s="39">
        <v>600.0</v>
      </c>
      <c r="AE76" s="39">
        <v>1.0</v>
      </c>
    </row>
    <row r="77">
      <c r="A77" s="20" t="s">
        <v>1072</v>
      </c>
      <c r="D77" s="39" t="s">
        <v>499</v>
      </c>
      <c r="E77" s="39" t="s">
        <v>9</v>
      </c>
      <c r="F77" s="39" t="s">
        <v>397</v>
      </c>
      <c r="G77" s="39" t="s">
        <v>1073</v>
      </c>
      <c r="H77" s="39" t="s">
        <v>1073</v>
      </c>
      <c r="L77" s="39" t="s">
        <v>102</v>
      </c>
      <c r="N77" s="39" t="s">
        <v>119</v>
      </c>
      <c r="O77" s="39" t="s">
        <v>68</v>
      </c>
      <c r="Q77" s="39">
        <v>0.0</v>
      </c>
      <c r="R77" s="39">
        <v>1.0</v>
      </c>
      <c r="S77" s="39">
        <v>0.0</v>
      </c>
      <c r="T77" s="39">
        <v>0.0</v>
      </c>
      <c r="U77" s="39">
        <v>1.0</v>
      </c>
      <c r="V77" s="39">
        <v>0.0</v>
      </c>
      <c r="W77" s="39">
        <v>0.0</v>
      </c>
      <c r="X77" s="39">
        <v>0.0</v>
      </c>
      <c r="Y77" s="39">
        <v>0.0</v>
      </c>
      <c r="AC77" s="39">
        <v>600.0</v>
      </c>
      <c r="AE77" s="39">
        <v>1.0</v>
      </c>
    </row>
    <row r="78">
      <c r="A78" s="20" t="s">
        <v>1074</v>
      </c>
      <c r="B78" s="39" t="s">
        <v>172</v>
      </c>
      <c r="C78" s="39" t="s">
        <v>173</v>
      </c>
      <c r="D78" s="39" t="s">
        <v>499</v>
      </c>
      <c r="E78" s="39" t="s">
        <v>9</v>
      </c>
      <c r="F78" s="39" t="s">
        <v>397</v>
      </c>
      <c r="G78" s="39" t="s">
        <v>1075</v>
      </c>
      <c r="H78" s="39" t="s">
        <v>1075</v>
      </c>
      <c r="L78" s="39" t="s">
        <v>66</v>
      </c>
      <c r="N78" s="39" t="s">
        <v>67</v>
      </c>
      <c r="O78" s="39" t="s">
        <v>68</v>
      </c>
      <c r="Q78" s="39">
        <v>0.0</v>
      </c>
      <c r="R78" s="39">
        <v>0.0</v>
      </c>
      <c r="S78" s="39">
        <v>1.0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AC78" s="39">
        <v>600.0</v>
      </c>
      <c r="AE78" s="39">
        <v>1.0</v>
      </c>
    </row>
    <row r="79">
      <c r="A79" s="20" t="s">
        <v>1076</v>
      </c>
      <c r="B79" s="39" t="s">
        <v>172</v>
      </c>
      <c r="C79" s="39" t="s">
        <v>173</v>
      </c>
      <c r="D79" s="39" t="s">
        <v>499</v>
      </c>
      <c r="E79" s="39" t="s">
        <v>9</v>
      </c>
      <c r="F79" s="39" t="s">
        <v>397</v>
      </c>
      <c r="G79" s="39" t="s">
        <v>1077</v>
      </c>
      <c r="H79" s="39" t="s">
        <v>1077</v>
      </c>
      <c r="L79" s="39" t="s">
        <v>66</v>
      </c>
      <c r="N79" s="39" t="s">
        <v>67</v>
      </c>
      <c r="O79" s="39" t="s">
        <v>67</v>
      </c>
      <c r="Q79" s="39">
        <v>0.0</v>
      </c>
      <c r="R79" s="39">
        <v>0.0</v>
      </c>
      <c r="S79" s="39">
        <v>1.0</v>
      </c>
      <c r="T79" s="39">
        <v>0.0</v>
      </c>
      <c r="U79" s="39">
        <v>0.0</v>
      </c>
      <c r="V79" s="39">
        <v>1.0</v>
      </c>
      <c r="W79" s="39">
        <v>0.0</v>
      </c>
      <c r="X79" s="39">
        <v>0.0</v>
      </c>
      <c r="Y79" s="39">
        <v>1.0</v>
      </c>
      <c r="Z79" s="30" t="s">
        <v>1006</v>
      </c>
      <c r="AA79" s="30" t="s">
        <v>97</v>
      </c>
      <c r="AC79" s="39">
        <v>400.0</v>
      </c>
      <c r="AE79" s="39">
        <v>1.0</v>
      </c>
    </row>
    <row r="80">
      <c r="A80" s="20" t="s">
        <v>1078</v>
      </c>
      <c r="B80" s="39" t="s">
        <v>172</v>
      </c>
      <c r="C80" s="39" t="s">
        <v>173</v>
      </c>
      <c r="D80" s="39" t="s">
        <v>499</v>
      </c>
      <c r="E80" s="39" t="s">
        <v>9</v>
      </c>
      <c r="F80" s="39" t="s">
        <v>397</v>
      </c>
      <c r="G80" s="39" t="s">
        <v>72</v>
      </c>
      <c r="L80" s="39" t="s">
        <v>66</v>
      </c>
      <c r="N80" s="39" t="s">
        <v>81</v>
      </c>
      <c r="O80" s="39" t="s">
        <v>68</v>
      </c>
      <c r="Q80" s="39">
        <v>1.0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AC80" s="39">
        <v>400.0</v>
      </c>
      <c r="AE80" s="39">
        <v>1.0</v>
      </c>
    </row>
    <row r="81">
      <c r="A81" s="20" t="s">
        <v>1079</v>
      </c>
      <c r="D81" s="39" t="s">
        <v>499</v>
      </c>
      <c r="E81" s="39" t="s">
        <v>9</v>
      </c>
      <c r="F81" s="39" t="s">
        <v>397</v>
      </c>
      <c r="G81" s="39" t="s">
        <v>1080</v>
      </c>
      <c r="H81" s="39" t="s">
        <v>1080</v>
      </c>
      <c r="L81" s="39" t="s">
        <v>102</v>
      </c>
      <c r="N81" s="39" t="s">
        <v>119</v>
      </c>
      <c r="O81" s="39" t="s">
        <v>67</v>
      </c>
      <c r="Q81" s="39">
        <v>0.0</v>
      </c>
      <c r="R81" s="39">
        <v>1.0</v>
      </c>
      <c r="S81" s="39">
        <v>0.0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AC81" s="39">
        <v>500.0</v>
      </c>
      <c r="AE81" s="39">
        <v>1.0</v>
      </c>
    </row>
    <row r="82">
      <c r="A82" s="20" t="s">
        <v>1081</v>
      </c>
      <c r="D82" s="39" t="s">
        <v>499</v>
      </c>
      <c r="E82" s="39" t="s">
        <v>9</v>
      </c>
      <c r="F82" s="39" t="s">
        <v>397</v>
      </c>
      <c r="G82" s="39" t="s">
        <v>1082</v>
      </c>
      <c r="H82" s="39" t="s">
        <v>1082</v>
      </c>
      <c r="L82" s="39" t="s">
        <v>102</v>
      </c>
      <c r="N82" s="39" t="s">
        <v>178</v>
      </c>
      <c r="O82" s="39" t="s">
        <v>67</v>
      </c>
      <c r="Q82" s="39">
        <v>0.0</v>
      </c>
      <c r="R82" s="39">
        <v>0.0</v>
      </c>
      <c r="S82" s="39">
        <v>1.0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AC82" s="39">
        <v>500.0</v>
      </c>
      <c r="AE82" s="39">
        <v>1.0</v>
      </c>
    </row>
    <row r="83">
      <c r="A83" s="20" t="s">
        <v>1083</v>
      </c>
      <c r="D83" s="39" t="s">
        <v>499</v>
      </c>
      <c r="E83" s="39" t="s">
        <v>9</v>
      </c>
      <c r="F83" s="39" t="s">
        <v>397</v>
      </c>
      <c r="G83" s="39" t="s">
        <v>1084</v>
      </c>
      <c r="H83" s="39" t="s">
        <v>1084</v>
      </c>
      <c r="L83" s="39" t="s">
        <v>102</v>
      </c>
      <c r="N83" s="39" t="s">
        <v>119</v>
      </c>
      <c r="O83" s="39" t="s">
        <v>68</v>
      </c>
      <c r="Q83" s="39">
        <v>0.0</v>
      </c>
      <c r="R83" s="39">
        <v>1.0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AC83" s="39">
        <v>600.0</v>
      </c>
      <c r="AE83" s="39">
        <v>1.0</v>
      </c>
    </row>
    <row r="84">
      <c r="A84" s="20" t="s">
        <v>1085</v>
      </c>
      <c r="D84" s="39" t="s">
        <v>499</v>
      </c>
      <c r="E84" s="39" t="s">
        <v>9</v>
      </c>
      <c r="F84" s="39" t="s">
        <v>397</v>
      </c>
      <c r="G84" s="39" t="s">
        <v>1086</v>
      </c>
      <c r="H84" s="39" t="s">
        <v>1086</v>
      </c>
      <c r="L84" s="39" t="s">
        <v>102</v>
      </c>
      <c r="N84" s="39" t="s">
        <v>67</v>
      </c>
      <c r="O84" s="39" t="s">
        <v>68</v>
      </c>
      <c r="Q84" s="39">
        <v>0.0</v>
      </c>
      <c r="R84" s="39">
        <v>0.0</v>
      </c>
      <c r="S84" s="39">
        <v>1.0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AC84" s="39">
        <v>600.0</v>
      </c>
      <c r="AE84" s="39">
        <v>1.0</v>
      </c>
    </row>
    <row r="85">
      <c r="A85" s="20" t="s">
        <v>1087</v>
      </c>
      <c r="D85" s="39" t="s">
        <v>499</v>
      </c>
      <c r="E85" s="39" t="s">
        <v>9</v>
      </c>
      <c r="F85" s="39" t="s">
        <v>397</v>
      </c>
      <c r="G85" s="39" t="s">
        <v>512</v>
      </c>
      <c r="L85" s="39" t="s">
        <v>102</v>
      </c>
      <c r="N85" s="39" t="s">
        <v>67</v>
      </c>
      <c r="O85" s="39" t="s">
        <v>68</v>
      </c>
      <c r="Q85" s="39">
        <v>0.0</v>
      </c>
      <c r="R85" s="39">
        <v>0.0</v>
      </c>
      <c r="S85" s="39">
        <v>1.0</v>
      </c>
      <c r="T85" s="39">
        <v>0.0</v>
      </c>
      <c r="U85" s="39">
        <v>0.0</v>
      </c>
      <c r="V85" s="39">
        <v>0.0</v>
      </c>
      <c r="W85" s="39">
        <v>0.0</v>
      </c>
      <c r="X85" s="39">
        <v>0.0</v>
      </c>
      <c r="Y85" s="39">
        <v>0.0</v>
      </c>
      <c r="AC85" s="39">
        <v>400.0</v>
      </c>
      <c r="AE85" s="39">
        <v>1.0</v>
      </c>
    </row>
    <row r="86">
      <c r="A86" s="20" t="s">
        <v>1088</v>
      </c>
      <c r="D86" s="39" t="s">
        <v>499</v>
      </c>
      <c r="E86" s="39" t="s">
        <v>9</v>
      </c>
      <c r="F86" s="39" t="s">
        <v>397</v>
      </c>
      <c r="G86" s="39" t="s">
        <v>1089</v>
      </c>
      <c r="H86" s="39" t="s">
        <v>1089</v>
      </c>
      <c r="L86" s="39" t="s">
        <v>102</v>
      </c>
      <c r="N86" s="39" t="s">
        <v>119</v>
      </c>
      <c r="O86" s="39" t="s">
        <v>68</v>
      </c>
      <c r="Q86" s="39">
        <v>0.0</v>
      </c>
      <c r="R86" s="39">
        <v>1.0</v>
      </c>
      <c r="S86" s="39">
        <v>0.0</v>
      </c>
      <c r="T86" s="39">
        <v>0.0</v>
      </c>
      <c r="U86" s="39">
        <v>0.0</v>
      </c>
      <c r="V86" s="39">
        <v>0.0</v>
      </c>
      <c r="W86" s="39">
        <v>0.0</v>
      </c>
      <c r="X86" s="39">
        <v>0.0</v>
      </c>
      <c r="Y86" s="39">
        <v>0.0</v>
      </c>
      <c r="AC86" s="39">
        <v>600.0</v>
      </c>
      <c r="AE86" s="39">
        <v>1.0</v>
      </c>
    </row>
    <row r="87">
      <c r="A87" s="20" t="s">
        <v>1090</v>
      </c>
      <c r="D87" s="39" t="s">
        <v>499</v>
      </c>
      <c r="E87" s="39" t="s">
        <v>9</v>
      </c>
      <c r="F87" s="39" t="s">
        <v>397</v>
      </c>
      <c r="G87" s="39" t="s">
        <v>1091</v>
      </c>
      <c r="H87" s="39" t="s">
        <v>1091</v>
      </c>
      <c r="L87" s="39" t="s">
        <v>102</v>
      </c>
      <c r="N87" s="39" t="s">
        <v>81</v>
      </c>
      <c r="O87" s="39" t="s">
        <v>68</v>
      </c>
      <c r="Q87" s="39">
        <v>1.0</v>
      </c>
      <c r="R87" s="39">
        <v>0.0</v>
      </c>
      <c r="S87" s="39">
        <v>0.0</v>
      </c>
      <c r="T87" s="39">
        <v>0.0</v>
      </c>
      <c r="U87" s="39">
        <v>0.0</v>
      </c>
      <c r="V87" s="39">
        <v>0.0</v>
      </c>
      <c r="W87" s="39">
        <v>0.0</v>
      </c>
      <c r="X87" s="39">
        <v>0.0</v>
      </c>
      <c r="Y87" s="39">
        <v>0.0</v>
      </c>
      <c r="AC87" s="39">
        <v>600.0</v>
      </c>
      <c r="AE87" s="39">
        <v>1.0</v>
      </c>
    </row>
    <row r="88">
      <c r="A88" s="20" t="s">
        <v>1092</v>
      </c>
      <c r="B88" s="39" t="s">
        <v>137</v>
      </c>
      <c r="C88" s="39" t="s">
        <v>138</v>
      </c>
      <c r="D88" s="39" t="s">
        <v>499</v>
      </c>
      <c r="E88" s="39" t="s">
        <v>9</v>
      </c>
      <c r="F88" s="39" t="s">
        <v>397</v>
      </c>
      <c r="G88" s="39" t="s">
        <v>1093</v>
      </c>
      <c r="H88" s="39" t="s">
        <v>1093</v>
      </c>
      <c r="L88" s="39" t="s">
        <v>66</v>
      </c>
      <c r="N88" s="39" t="s">
        <v>81</v>
      </c>
      <c r="O88" s="39" t="s">
        <v>68</v>
      </c>
      <c r="Q88" s="39">
        <v>1.0</v>
      </c>
      <c r="R88" s="39">
        <v>0.0</v>
      </c>
      <c r="S88" s="39">
        <v>0.0</v>
      </c>
      <c r="T88" s="39">
        <v>0.0</v>
      </c>
      <c r="U88" s="39">
        <v>0.0</v>
      </c>
      <c r="V88" s="39">
        <v>1.0</v>
      </c>
      <c r="W88" s="39">
        <v>0.0</v>
      </c>
      <c r="X88" s="39">
        <v>1.0</v>
      </c>
      <c r="Y88" s="39">
        <v>1.0</v>
      </c>
      <c r="Z88" s="30" t="s">
        <v>1094</v>
      </c>
      <c r="AA88" s="30" t="s">
        <v>411</v>
      </c>
      <c r="AC88" s="39">
        <v>500.0</v>
      </c>
      <c r="AE88" s="39">
        <v>1.0</v>
      </c>
    </row>
    <row r="89">
      <c r="A89" s="20" t="s">
        <v>1095</v>
      </c>
      <c r="D89" s="39" t="s">
        <v>499</v>
      </c>
      <c r="E89" s="39" t="s">
        <v>9</v>
      </c>
      <c r="F89" s="39" t="s">
        <v>397</v>
      </c>
      <c r="G89" s="39" t="s">
        <v>1096</v>
      </c>
      <c r="H89" s="39" t="s">
        <v>1096</v>
      </c>
      <c r="L89" s="39" t="s">
        <v>102</v>
      </c>
      <c r="N89" s="39" t="s">
        <v>81</v>
      </c>
      <c r="O89" s="39" t="s">
        <v>68</v>
      </c>
      <c r="Q89" s="39">
        <v>1.0</v>
      </c>
      <c r="R89" s="39">
        <v>0.0</v>
      </c>
      <c r="S89" s="39">
        <v>0.0</v>
      </c>
      <c r="T89" s="39">
        <v>0.0</v>
      </c>
      <c r="U89" s="39">
        <v>0.0</v>
      </c>
      <c r="V89" s="39">
        <v>0.0</v>
      </c>
      <c r="W89" s="39">
        <v>0.0</v>
      </c>
      <c r="X89" s="39">
        <v>0.0</v>
      </c>
      <c r="Y89" s="39">
        <v>0.0</v>
      </c>
      <c r="AC89" s="39">
        <v>600.0</v>
      </c>
      <c r="AE89" s="39">
        <v>1.0</v>
      </c>
    </row>
    <row r="90">
      <c r="A90" s="20" t="s">
        <v>1097</v>
      </c>
      <c r="B90" s="39" t="s">
        <v>137</v>
      </c>
      <c r="C90" s="39" t="s">
        <v>138</v>
      </c>
      <c r="D90" s="39" t="s">
        <v>499</v>
      </c>
      <c r="E90" s="39" t="s">
        <v>9</v>
      </c>
      <c r="F90" s="39" t="s">
        <v>397</v>
      </c>
      <c r="G90" s="39" t="s">
        <v>662</v>
      </c>
      <c r="L90" s="39" t="s">
        <v>66</v>
      </c>
      <c r="N90" s="39" t="s">
        <v>81</v>
      </c>
      <c r="O90" s="39" t="s">
        <v>68</v>
      </c>
      <c r="Q90" s="39">
        <v>1.0</v>
      </c>
      <c r="R90" s="39">
        <v>0.0</v>
      </c>
      <c r="S90" s="39">
        <v>0.0</v>
      </c>
      <c r="T90" s="39">
        <v>0.0</v>
      </c>
      <c r="U90" s="39">
        <v>0.0</v>
      </c>
      <c r="V90" s="39">
        <v>0.0</v>
      </c>
      <c r="W90" s="39">
        <v>0.0</v>
      </c>
      <c r="X90" s="39">
        <v>0.0</v>
      </c>
      <c r="Y90" s="39">
        <v>0.0</v>
      </c>
      <c r="AC90" s="39">
        <v>500.0</v>
      </c>
      <c r="AE90" s="39">
        <v>1.0</v>
      </c>
    </row>
    <row r="91">
      <c r="A91" s="20" t="s">
        <v>1098</v>
      </c>
      <c r="D91" s="39" t="s">
        <v>499</v>
      </c>
      <c r="E91" s="39" t="s">
        <v>9</v>
      </c>
      <c r="F91" s="39" t="s">
        <v>397</v>
      </c>
      <c r="L91" s="39" t="s">
        <v>102</v>
      </c>
      <c r="N91" s="39" t="s">
        <v>119</v>
      </c>
      <c r="O91" s="39" t="s">
        <v>68</v>
      </c>
      <c r="Q91" s="39">
        <v>0.0</v>
      </c>
      <c r="R91" s="39">
        <v>1.0</v>
      </c>
      <c r="S91" s="39">
        <v>0.0</v>
      </c>
      <c r="T91" s="39">
        <v>0.0</v>
      </c>
      <c r="U91" s="39">
        <v>0.0</v>
      </c>
      <c r="V91" s="39">
        <v>0.0</v>
      </c>
      <c r="W91" s="39">
        <v>0.0</v>
      </c>
      <c r="X91" s="39">
        <v>0.0</v>
      </c>
      <c r="Y91" s="39">
        <v>0.0</v>
      </c>
      <c r="AC91" s="39">
        <v>400.0</v>
      </c>
      <c r="AE91" s="39">
        <v>1.0</v>
      </c>
    </row>
    <row r="92">
      <c r="A92" s="20" t="s">
        <v>1099</v>
      </c>
      <c r="B92" s="39" t="s">
        <v>137</v>
      </c>
      <c r="C92" s="39" t="s">
        <v>138</v>
      </c>
      <c r="D92" s="39" t="s">
        <v>499</v>
      </c>
      <c r="E92" s="39" t="s">
        <v>9</v>
      </c>
      <c r="F92" s="39" t="s">
        <v>397</v>
      </c>
      <c r="L92" s="39" t="s">
        <v>66</v>
      </c>
      <c r="N92" s="39" t="s">
        <v>67</v>
      </c>
      <c r="O92" s="39" t="s">
        <v>68</v>
      </c>
      <c r="Q92" s="39">
        <v>0.0</v>
      </c>
      <c r="R92" s="39">
        <v>0.0</v>
      </c>
      <c r="S92" s="39">
        <v>1.0</v>
      </c>
      <c r="T92" s="39">
        <v>0.0</v>
      </c>
      <c r="U92" s="39">
        <v>0.0</v>
      </c>
      <c r="V92" s="39">
        <v>1.0</v>
      </c>
      <c r="W92" s="39">
        <v>0.0</v>
      </c>
      <c r="X92" s="39">
        <v>0.0</v>
      </c>
      <c r="Y92" s="39">
        <v>1.0</v>
      </c>
      <c r="Z92" s="30" t="s">
        <v>1100</v>
      </c>
      <c r="AA92" s="30" t="s">
        <v>97</v>
      </c>
      <c r="AC92" s="39">
        <v>400.0</v>
      </c>
      <c r="AE92" s="39">
        <v>1.0</v>
      </c>
    </row>
    <row r="93">
      <c r="A93" s="20" t="s">
        <v>1101</v>
      </c>
      <c r="B93" s="39" t="s">
        <v>137</v>
      </c>
      <c r="C93" s="39" t="s">
        <v>138</v>
      </c>
      <c r="D93" s="39" t="s">
        <v>499</v>
      </c>
      <c r="E93" s="39" t="s">
        <v>9</v>
      </c>
      <c r="F93" s="39" t="s">
        <v>397</v>
      </c>
      <c r="G93" s="39" t="s">
        <v>662</v>
      </c>
      <c r="L93" s="39" t="s">
        <v>66</v>
      </c>
      <c r="N93" s="39" t="s">
        <v>81</v>
      </c>
      <c r="O93" s="39" t="s">
        <v>68</v>
      </c>
      <c r="Q93" s="39">
        <v>1.0</v>
      </c>
      <c r="R93" s="39">
        <v>0.0</v>
      </c>
      <c r="S93" s="39">
        <v>0.0</v>
      </c>
      <c r="T93" s="39">
        <v>0.0</v>
      </c>
      <c r="U93" s="39">
        <v>0.0</v>
      </c>
      <c r="V93" s="39">
        <v>0.0</v>
      </c>
      <c r="W93" s="39">
        <v>0.0</v>
      </c>
      <c r="X93" s="39">
        <v>0.0</v>
      </c>
      <c r="Y93" s="39">
        <v>0.0</v>
      </c>
      <c r="AC93" s="39">
        <v>350.0</v>
      </c>
      <c r="AE93" s="39">
        <v>1.0</v>
      </c>
    </row>
    <row r="94">
      <c r="A94" s="20" t="s">
        <v>1102</v>
      </c>
      <c r="B94" s="39" t="s">
        <v>129</v>
      </c>
      <c r="C94" s="39" t="s">
        <v>130</v>
      </c>
      <c r="D94" s="39" t="s">
        <v>499</v>
      </c>
      <c r="E94" s="39" t="s">
        <v>9</v>
      </c>
      <c r="F94" s="39" t="s">
        <v>397</v>
      </c>
      <c r="G94" s="39" t="s">
        <v>1103</v>
      </c>
      <c r="H94" s="39" t="s">
        <v>1103</v>
      </c>
      <c r="L94" s="39" t="s">
        <v>66</v>
      </c>
      <c r="N94" s="39" t="s">
        <v>67</v>
      </c>
      <c r="O94" s="39" t="s">
        <v>68</v>
      </c>
      <c r="Q94" s="39">
        <v>0.0</v>
      </c>
      <c r="R94" s="39">
        <v>0.0</v>
      </c>
      <c r="S94" s="39">
        <v>1.0</v>
      </c>
      <c r="T94" s="39">
        <v>0.0</v>
      </c>
      <c r="U94" s="39">
        <v>1.0</v>
      </c>
      <c r="V94" s="39">
        <v>0.0</v>
      </c>
      <c r="W94" s="39">
        <v>0.0</v>
      </c>
      <c r="X94" s="39">
        <v>0.0</v>
      </c>
      <c r="Y94" s="39">
        <v>1.0</v>
      </c>
      <c r="Z94" s="30" t="s">
        <v>1104</v>
      </c>
      <c r="AA94" s="30" t="s">
        <v>97</v>
      </c>
      <c r="AC94" s="39">
        <v>450.0</v>
      </c>
      <c r="AE94" s="39">
        <v>1.0</v>
      </c>
    </row>
    <row r="95">
      <c r="A95" s="20" t="s">
        <v>1105</v>
      </c>
      <c r="B95" s="39" t="s">
        <v>129</v>
      </c>
      <c r="C95" s="39" t="s">
        <v>130</v>
      </c>
      <c r="D95" s="39" t="s">
        <v>499</v>
      </c>
      <c r="E95" s="39" t="s">
        <v>9</v>
      </c>
      <c r="F95" s="39" t="s">
        <v>397</v>
      </c>
      <c r="G95" s="39" t="s">
        <v>1106</v>
      </c>
      <c r="H95" s="39" t="s">
        <v>1106</v>
      </c>
      <c r="L95" s="39" t="s">
        <v>66</v>
      </c>
      <c r="N95" s="39" t="s">
        <v>81</v>
      </c>
      <c r="O95" s="39" t="s">
        <v>67</v>
      </c>
      <c r="Q95" s="39">
        <v>1.0</v>
      </c>
      <c r="R95" s="39">
        <v>0.0</v>
      </c>
      <c r="S95" s="39">
        <v>0.0</v>
      </c>
      <c r="T95" s="39">
        <v>0.0</v>
      </c>
      <c r="U95" s="39">
        <v>1.0</v>
      </c>
      <c r="V95" s="39">
        <v>0.0</v>
      </c>
      <c r="W95" s="39">
        <v>0.0</v>
      </c>
      <c r="X95" s="39">
        <v>0.0</v>
      </c>
      <c r="Y95" s="39">
        <v>0.0</v>
      </c>
      <c r="AC95" s="39">
        <v>400.0</v>
      </c>
      <c r="AE95" s="39">
        <v>1.0</v>
      </c>
    </row>
    <row r="96">
      <c r="A96" s="20" t="s">
        <v>1107</v>
      </c>
      <c r="B96" s="39" t="s">
        <v>129</v>
      </c>
      <c r="C96" s="39" t="s">
        <v>130</v>
      </c>
      <c r="D96" s="39" t="s">
        <v>499</v>
      </c>
      <c r="E96" s="39" t="s">
        <v>9</v>
      </c>
      <c r="F96" s="39" t="s">
        <v>397</v>
      </c>
      <c r="G96" s="39" t="s">
        <v>1108</v>
      </c>
      <c r="H96" s="39" t="s">
        <v>1108</v>
      </c>
      <c r="L96" s="39" t="s">
        <v>66</v>
      </c>
      <c r="N96" s="39" t="s">
        <v>81</v>
      </c>
      <c r="O96" s="39" t="s">
        <v>68</v>
      </c>
      <c r="Q96" s="39">
        <v>1.0</v>
      </c>
      <c r="R96" s="39">
        <v>0.0</v>
      </c>
      <c r="S96" s="39">
        <v>0.0</v>
      </c>
      <c r="T96" s="39">
        <v>0.0</v>
      </c>
      <c r="U96" s="39">
        <v>0.0</v>
      </c>
      <c r="V96" s="39">
        <v>1.0</v>
      </c>
      <c r="W96" s="39">
        <v>1.0</v>
      </c>
      <c r="X96" s="39">
        <v>1.0</v>
      </c>
      <c r="Y96" s="39">
        <v>0.0</v>
      </c>
      <c r="Z96" s="30" t="s">
        <v>964</v>
      </c>
      <c r="AA96" s="30" t="s">
        <v>115</v>
      </c>
      <c r="AC96" s="39">
        <v>300.0</v>
      </c>
      <c r="AE96" s="39">
        <v>1.0</v>
      </c>
    </row>
    <row r="97">
      <c r="A97" s="20" t="s">
        <v>1109</v>
      </c>
      <c r="D97" s="39" t="s">
        <v>499</v>
      </c>
      <c r="E97" s="39" t="s">
        <v>9</v>
      </c>
      <c r="F97" s="39" t="s">
        <v>397</v>
      </c>
      <c r="G97" s="39" t="s">
        <v>1110</v>
      </c>
      <c r="H97" s="39" t="s">
        <v>1110</v>
      </c>
      <c r="L97" s="39" t="s">
        <v>102</v>
      </c>
      <c r="N97" s="39" t="s">
        <v>119</v>
      </c>
      <c r="O97" s="39" t="s">
        <v>67</v>
      </c>
      <c r="Q97" s="39">
        <v>0.0</v>
      </c>
      <c r="R97" s="39">
        <v>1.0</v>
      </c>
      <c r="S97" s="39">
        <v>0.0</v>
      </c>
      <c r="T97" s="39">
        <v>0.0</v>
      </c>
      <c r="U97" s="39">
        <v>0.0</v>
      </c>
      <c r="V97" s="39">
        <v>0.0</v>
      </c>
      <c r="W97" s="39">
        <v>0.0</v>
      </c>
      <c r="X97" s="39">
        <v>0.0</v>
      </c>
      <c r="Y97" s="39">
        <v>0.0</v>
      </c>
      <c r="AC97" s="39">
        <v>500.0</v>
      </c>
      <c r="AE97" s="39">
        <v>1.0</v>
      </c>
    </row>
    <row r="98">
      <c r="A98" s="20" t="s">
        <v>1111</v>
      </c>
      <c r="D98" s="39" t="s">
        <v>499</v>
      </c>
      <c r="E98" s="39" t="s">
        <v>9</v>
      </c>
      <c r="F98" s="39" t="s">
        <v>397</v>
      </c>
      <c r="G98" s="39" t="s">
        <v>1112</v>
      </c>
      <c r="H98" s="39" t="s">
        <v>1112</v>
      </c>
      <c r="L98" s="39" t="s">
        <v>102</v>
      </c>
      <c r="N98" s="39" t="s">
        <v>119</v>
      </c>
      <c r="O98" s="39" t="s">
        <v>67</v>
      </c>
      <c r="Q98" s="39">
        <v>0.0</v>
      </c>
      <c r="R98" s="39">
        <v>1.0</v>
      </c>
      <c r="S98" s="39">
        <v>0.0</v>
      </c>
      <c r="T98" s="39">
        <v>0.0</v>
      </c>
      <c r="U98" s="39">
        <v>0.0</v>
      </c>
      <c r="V98" s="39">
        <v>0.0</v>
      </c>
      <c r="W98" s="39">
        <v>0.0</v>
      </c>
      <c r="X98" s="39">
        <v>0.0</v>
      </c>
      <c r="Y98" s="39">
        <v>0.0</v>
      </c>
      <c r="AC98" s="39">
        <v>400.0</v>
      </c>
      <c r="AE98" s="39">
        <v>1.0</v>
      </c>
    </row>
    <row r="99">
      <c r="A99" s="20" t="s">
        <v>1113</v>
      </c>
      <c r="D99" s="39" t="s">
        <v>499</v>
      </c>
      <c r="E99" s="39" t="s">
        <v>9</v>
      </c>
      <c r="F99" s="39" t="s">
        <v>397</v>
      </c>
      <c r="G99" s="39" t="s">
        <v>1114</v>
      </c>
      <c r="H99" s="39" t="s">
        <v>1114</v>
      </c>
      <c r="L99" s="39" t="s">
        <v>102</v>
      </c>
      <c r="N99" s="39" t="s">
        <v>81</v>
      </c>
      <c r="O99" s="39" t="s">
        <v>68</v>
      </c>
      <c r="Q99" s="39">
        <v>1.0</v>
      </c>
      <c r="R99" s="39">
        <v>0.0</v>
      </c>
      <c r="S99" s="39">
        <v>0.0</v>
      </c>
      <c r="T99" s="39">
        <v>0.0</v>
      </c>
      <c r="U99" s="39">
        <v>0.0</v>
      </c>
      <c r="V99" s="39">
        <v>0.0</v>
      </c>
      <c r="W99" s="39">
        <v>0.0</v>
      </c>
      <c r="X99" s="39">
        <v>0.0</v>
      </c>
      <c r="Y99" s="39">
        <v>0.0</v>
      </c>
      <c r="AC99" s="39">
        <v>500.0</v>
      </c>
      <c r="AE99" s="39">
        <v>1.0</v>
      </c>
    </row>
    <row r="100">
      <c r="A100" s="20" t="s">
        <v>1115</v>
      </c>
      <c r="D100" s="39" t="s">
        <v>499</v>
      </c>
      <c r="E100" s="39" t="s">
        <v>9</v>
      </c>
      <c r="F100" s="39" t="s">
        <v>397</v>
      </c>
      <c r="G100" s="39" t="s">
        <v>662</v>
      </c>
      <c r="L100" s="39" t="s">
        <v>102</v>
      </c>
      <c r="N100" s="39" t="s">
        <v>67</v>
      </c>
      <c r="O100" s="39" t="s">
        <v>68</v>
      </c>
      <c r="Q100" s="39">
        <v>0.0</v>
      </c>
      <c r="R100" s="39">
        <v>0.0</v>
      </c>
      <c r="S100" s="39">
        <v>1.0</v>
      </c>
      <c r="T100" s="39">
        <v>0.0</v>
      </c>
      <c r="U100" s="39">
        <v>0.0</v>
      </c>
      <c r="V100" s="39">
        <v>0.0</v>
      </c>
      <c r="W100" s="39">
        <v>0.0</v>
      </c>
      <c r="X100" s="39">
        <v>0.0</v>
      </c>
      <c r="Y100" s="39">
        <v>0.0</v>
      </c>
      <c r="AC100" s="39">
        <v>400.0</v>
      </c>
      <c r="AE100" s="39">
        <v>1.0</v>
      </c>
    </row>
    <row r="101">
      <c r="A101" s="20" t="s">
        <v>1116</v>
      </c>
      <c r="D101" s="39" t="s">
        <v>499</v>
      </c>
      <c r="E101" s="39" t="s">
        <v>9</v>
      </c>
      <c r="F101" s="39" t="s">
        <v>397</v>
      </c>
      <c r="G101" s="39" t="s">
        <v>1117</v>
      </c>
      <c r="H101" s="39" t="s">
        <v>1117</v>
      </c>
      <c r="L101" s="39" t="s">
        <v>102</v>
      </c>
      <c r="N101" s="39" t="s">
        <v>67</v>
      </c>
      <c r="O101" s="39" t="s">
        <v>68</v>
      </c>
      <c r="Q101" s="39">
        <v>0.0</v>
      </c>
      <c r="R101" s="39">
        <v>0.0</v>
      </c>
      <c r="S101" s="39">
        <v>1.0</v>
      </c>
      <c r="T101" s="39">
        <v>0.0</v>
      </c>
      <c r="U101" s="39">
        <v>1.0</v>
      </c>
      <c r="V101" s="39">
        <v>0.0</v>
      </c>
      <c r="W101" s="39">
        <v>0.0</v>
      </c>
      <c r="X101" s="39">
        <v>0.0</v>
      </c>
      <c r="Y101" s="39">
        <v>0.0</v>
      </c>
      <c r="AC101" s="39">
        <v>400.0</v>
      </c>
      <c r="AE101" s="39">
        <v>1.0</v>
      </c>
    </row>
    <row r="102">
      <c r="A102" s="20" t="s">
        <v>1118</v>
      </c>
      <c r="D102" s="39" t="s">
        <v>499</v>
      </c>
      <c r="E102" s="39" t="s">
        <v>9</v>
      </c>
      <c r="F102" s="39" t="s">
        <v>397</v>
      </c>
      <c r="G102" s="39" t="s">
        <v>662</v>
      </c>
      <c r="L102" s="39" t="s">
        <v>102</v>
      </c>
      <c r="N102" s="39" t="s">
        <v>81</v>
      </c>
      <c r="O102" s="39" t="s">
        <v>68</v>
      </c>
      <c r="Q102" s="39">
        <v>1.0</v>
      </c>
      <c r="R102" s="39">
        <v>0.0</v>
      </c>
      <c r="S102" s="39">
        <v>0.0</v>
      </c>
      <c r="T102" s="39">
        <v>0.0</v>
      </c>
      <c r="U102" s="39">
        <v>0.0</v>
      </c>
      <c r="V102" s="39">
        <v>0.0</v>
      </c>
      <c r="W102" s="39">
        <v>0.0</v>
      </c>
      <c r="X102" s="39">
        <v>0.0</v>
      </c>
      <c r="Y102" s="39">
        <v>0.0</v>
      </c>
      <c r="AC102" s="39">
        <v>300.0</v>
      </c>
      <c r="AE102" s="39">
        <v>1.0</v>
      </c>
    </row>
    <row r="103">
      <c r="A103" s="20" t="s">
        <v>1119</v>
      </c>
      <c r="B103" s="39" t="s">
        <v>104</v>
      </c>
      <c r="C103" s="39" t="s">
        <v>105</v>
      </c>
      <c r="D103" s="39" t="s">
        <v>499</v>
      </c>
      <c r="E103" s="39" t="s">
        <v>9</v>
      </c>
      <c r="F103" s="39" t="s">
        <v>397</v>
      </c>
      <c r="G103" s="39" t="s">
        <v>1120</v>
      </c>
      <c r="H103" s="39" t="s">
        <v>1120</v>
      </c>
      <c r="L103" s="39" t="s">
        <v>66</v>
      </c>
      <c r="N103" s="39" t="s">
        <v>119</v>
      </c>
      <c r="O103" s="39" t="s">
        <v>68</v>
      </c>
      <c r="Q103" s="39">
        <v>0.0</v>
      </c>
      <c r="R103" s="39">
        <v>1.0</v>
      </c>
      <c r="S103" s="39">
        <v>0.0</v>
      </c>
      <c r="T103" s="39">
        <v>0.0</v>
      </c>
      <c r="U103" s="39">
        <v>0.0</v>
      </c>
      <c r="V103" s="39">
        <v>1.0</v>
      </c>
      <c r="W103" s="39">
        <v>0.0</v>
      </c>
      <c r="X103" s="39">
        <v>1.0</v>
      </c>
      <c r="Y103" s="39">
        <v>0.0</v>
      </c>
      <c r="Z103" s="30" t="s">
        <v>964</v>
      </c>
      <c r="AA103" s="30" t="s">
        <v>115</v>
      </c>
      <c r="AC103" s="39">
        <v>300.0</v>
      </c>
      <c r="AE103" s="39">
        <v>1.0</v>
      </c>
    </row>
    <row r="104">
      <c r="A104" s="20" t="s">
        <v>1121</v>
      </c>
      <c r="B104" s="39" t="s">
        <v>104</v>
      </c>
      <c r="C104" s="39" t="s">
        <v>105</v>
      </c>
      <c r="D104" s="39" t="s">
        <v>499</v>
      </c>
      <c r="E104" s="39" t="s">
        <v>9</v>
      </c>
      <c r="F104" s="39" t="s">
        <v>397</v>
      </c>
      <c r="G104" s="39" t="s">
        <v>662</v>
      </c>
      <c r="L104" s="39" t="s">
        <v>66</v>
      </c>
      <c r="N104" s="39" t="s">
        <v>67</v>
      </c>
      <c r="O104" s="39" t="s">
        <v>68</v>
      </c>
      <c r="Q104" s="39">
        <v>0.0</v>
      </c>
      <c r="R104" s="39">
        <v>0.0</v>
      </c>
      <c r="S104" s="39">
        <v>1.0</v>
      </c>
      <c r="T104" s="39">
        <v>0.0</v>
      </c>
      <c r="U104" s="39">
        <v>0.0</v>
      </c>
      <c r="V104" s="39">
        <v>0.0</v>
      </c>
      <c r="W104" s="39">
        <v>0.0</v>
      </c>
      <c r="X104" s="39">
        <v>0.0</v>
      </c>
      <c r="Y104" s="39">
        <v>0.0</v>
      </c>
      <c r="AC104" s="39">
        <v>600.0</v>
      </c>
      <c r="AE104" s="39">
        <v>1.0</v>
      </c>
    </row>
    <row r="105">
      <c r="A105" s="20" t="s">
        <v>1122</v>
      </c>
      <c r="D105" s="39" t="s">
        <v>499</v>
      </c>
      <c r="E105" s="39" t="s">
        <v>9</v>
      </c>
      <c r="F105" s="39" t="s">
        <v>397</v>
      </c>
      <c r="G105" s="39" t="s">
        <v>1123</v>
      </c>
      <c r="H105" s="39" t="s">
        <v>1123</v>
      </c>
      <c r="L105" s="39" t="s">
        <v>102</v>
      </c>
      <c r="N105" s="39" t="s">
        <v>67</v>
      </c>
      <c r="O105" s="39" t="s">
        <v>68</v>
      </c>
      <c r="Q105" s="39">
        <v>0.0</v>
      </c>
      <c r="R105" s="39">
        <v>0.0</v>
      </c>
      <c r="S105" s="39">
        <v>1.0</v>
      </c>
      <c r="T105" s="39">
        <v>0.0</v>
      </c>
      <c r="U105" s="39">
        <v>0.0</v>
      </c>
      <c r="V105" s="39">
        <v>0.0</v>
      </c>
      <c r="W105" s="39">
        <v>0.0</v>
      </c>
      <c r="X105" s="39">
        <v>0.0</v>
      </c>
      <c r="Y105" s="39">
        <v>0.0</v>
      </c>
      <c r="AC105" s="39">
        <v>400.0</v>
      </c>
      <c r="AE105" s="39">
        <v>1.0</v>
      </c>
    </row>
    <row r="106">
      <c r="A106" s="20" t="s">
        <v>1124</v>
      </c>
      <c r="D106" s="39" t="s">
        <v>499</v>
      </c>
      <c r="E106" s="39" t="s">
        <v>9</v>
      </c>
      <c r="F106" s="39" t="s">
        <v>397</v>
      </c>
      <c r="G106" s="39" t="s">
        <v>1125</v>
      </c>
      <c r="H106" s="39" t="s">
        <v>1125</v>
      </c>
      <c r="L106" s="39" t="s">
        <v>102</v>
      </c>
      <c r="N106" s="39" t="s">
        <v>119</v>
      </c>
      <c r="O106" s="39" t="s">
        <v>67</v>
      </c>
      <c r="Q106" s="39">
        <v>0.0</v>
      </c>
      <c r="R106" s="39">
        <v>1.0</v>
      </c>
      <c r="S106" s="39">
        <v>0.0</v>
      </c>
      <c r="T106" s="39">
        <v>0.0</v>
      </c>
      <c r="U106" s="39">
        <v>0.0</v>
      </c>
      <c r="V106" s="39">
        <v>0.0</v>
      </c>
      <c r="W106" s="39">
        <v>0.0</v>
      </c>
      <c r="X106" s="39">
        <v>0.0</v>
      </c>
      <c r="Y106" s="39">
        <v>0.0</v>
      </c>
      <c r="AC106" s="39">
        <v>500.0</v>
      </c>
      <c r="AE106" s="39">
        <v>1.0</v>
      </c>
    </row>
    <row r="107">
      <c r="A107" s="20" t="s">
        <v>1126</v>
      </c>
      <c r="D107" s="39" t="s">
        <v>499</v>
      </c>
      <c r="E107" s="39" t="s">
        <v>9</v>
      </c>
      <c r="F107" s="39" t="s">
        <v>397</v>
      </c>
      <c r="G107" s="39" t="s">
        <v>1127</v>
      </c>
      <c r="H107" s="39" t="s">
        <v>1127</v>
      </c>
      <c r="L107" s="39" t="s">
        <v>102</v>
      </c>
      <c r="N107" s="39" t="s">
        <v>67</v>
      </c>
      <c r="O107" s="39" t="s">
        <v>81</v>
      </c>
      <c r="Q107" s="39">
        <v>0.0</v>
      </c>
      <c r="R107" s="39">
        <v>0.0</v>
      </c>
      <c r="S107" s="39">
        <v>1.0</v>
      </c>
      <c r="T107" s="39">
        <v>0.0</v>
      </c>
      <c r="U107" s="39">
        <v>0.0</v>
      </c>
      <c r="V107" s="39">
        <v>0.0</v>
      </c>
      <c r="W107" s="39">
        <v>0.0</v>
      </c>
      <c r="X107" s="39">
        <v>0.0</v>
      </c>
      <c r="Y107" s="39">
        <v>0.0</v>
      </c>
      <c r="AC107" s="39">
        <v>500.0</v>
      </c>
      <c r="AE107" s="39">
        <v>1.0</v>
      </c>
    </row>
    <row r="108">
      <c r="A108" s="29" t="s">
        <v>1128</v>
      </c>
      <c r="D108" s="39" t="s">
        <v>499</v>
      </c>
      <c r="E108" s="39" t="s">
        <v>9</v>
      </c>
      <c r="F108" s="39" t="s">
        <v>397</v>
      </c>
      <c r="G108" s="39" t="s">
        <v>688</v>
      </c>
      <c r="L108" s="39" t="s">
        <v>111</v>
      </c>
      <c r="N108" s="39" t="s">
        <v>67</v>
      </c>
      <c r="O108" s="39" t="s">
        <v>81</v>
      </c>
      <c r="Q108" s="39">
        <v>0.0</v>
      </c>
      <c r="R108" s="39">
        <v>0.0</v>
      </c>
      <c r="S108" s="39">
        <v>1.0</v>
      </c>
      <c r="T108" s="39">
        <v>0.0</v>
      </c>
      <c r="U108" s="39">
        <v>0.0</v>
      </c>
      <c r="V108" s="39">
        <v>0.0</v>
      </c>
      <c r="W108" s="39">
        <v>0.0</v>
      </c>
      <c r="X108" s="39">
        <v>0.0</v>
      </c>
      <c r="Y108" s="39">
        <v>0.0</v>
      </c>
      <c r="AE108" s="39">
        <v>1.0</v>
      </c>
    </row>
    <row r="109">
      <c r="A109" s="20" t="s">
        <v>1129</v>
      </c>
      <c r="D109" s="39" t="s">
        <v>499</v>
      </c>
      <c r="E109" s="39" t="s">
        <v>9</v>
      </c>
      <c r="F109" s="39" t="s">
        <v>397</v>
      </c>
      <c r="G109" s="39" t="s">
        <v>1130</v>
      </c>
      <c r="H109" s="39" t="s">
        <v>1130</v>
      </c>
      <c r="L109" s="39" t="s">
        <v>102</v>
      </c>
      <c r="N109" s="39" t="s">
        <v>67</v>
      </c>
      <c r="O109" s="39" t="s">
        <v>68</v>
      </c>
      <c r="Q109" s="39">
        <v>0.0</v>
      </c>
      <c r="R109" s="39">
        <v>0.0</v>
      </c>
      <c r="S109" s="39">
        <v>1.0</v>
      </c>
      <c r="T109" s="39">
        <v>0.0</v>
      </c>
      <c r="U109" s="39">
        <v>0.0</v>
      </c>
      <c r="V109" s="39">
        <v>0.0</v>
      </c>
      <c r="W109" s="39">
        <v>0.0</v>
      </c>
      <c r="X109" s="39">
        <v>0.0</v>
      </c>
      <c r="Y109" s="39">
        <v>0.0</v>
      </c>
      <c r="AC109" s="39">
        <v>160.0</v>
      </c>
      <c r="AE109" s="39">
        <v>1.0</v>
      </c>
    </row>
    <row r="110">
      <c r="A110" s="20" t="s">
        <v>1131</v>
      </c>
      <c r="D110" s="39" t="s">
        <v>499</v>
      </c>
      <c r="E110" s="39" t="s">
        <v>9</v>
      </c>
      <c r="F110" s="39" t="s">
        <v>397</v>
      </c>
      <c r="G110" s="39" t="s">
        <v>1132</v>
      </c>
      <c r="H110" s="39" t="s">
        <v>1132</v>
      </c>
      <c r="L110" s="39" t="s">
        <v>102</v>
      </c>
      <c r="N110" s="39" t="s">
        <v>67</v>
      </c>
      <c r="O110" s="39" t="s">
        <v>68</v>
      </c>
      <c r="Q110" s="39">
        <v>0.0</v>
      </c>
      <c r="R110" s="39">
        <v>0.0</v>
      </c>
      <c r="S110" s="39">
        <v>1.0</v>
      </c>
      <c r="T110" s="39">
        <v>0.0</v>
      </c>
      <c r="U110" s="39">
        <v>0.0</v>
      </c>
      <c r="V110" s="39">
        <v>0.0</v>
      </c>
      <c r="W110" s="39">
        <v>0.0</v>
      </c>
      <c r="X110" s="39">
        <v>0.0</v>
      </c>
      <c r="Y110" s="39">
        <v>0.0</v>
      </c>
      <c r="AC110" s="39">
        <v>300.0</v>
      </c>
      <c r="AE110" s="39">
        <v>1.0</v>
      </c>
    </row>
    <row r="111">
      <c r="A111" s="20" t="s">
        <v>1133</v>
      </c>
      <c r="D111" s="39" t="s">
        <v>499</v>
      </c>
      <c r="E111" s="39" t="s">
        <v>9</v>
      </c>
      <c r="F111" s="39" t="s">
        <v>397</v>
      </c>
      <c r="G111" s="39" t="s">
        <v>1134</v>
      </c>
      <c r="H111" s="39" t="s">
        <v>1134</v>
      </c>
      <c r="L111" s="39" t="s">
        <v>102</v>
      </c>
      <c r="N111" s="39" t="s">
        <v>81</v>
      </c>
      <c r="O111" s="39" t="s">
        <v>67</v>
      </c>
      <c r="Q111" s="39">
        <v>1.0</v>
      </c>
      <c r="R111" s="39">
        <v>0.0</v>
      </c>
      <c r="S111" s="39">
        <v>0.0</v>
      </c>
      <c r="T111" s="39">
        <v>0.0</v>
      </c>
      <c r="U111" s="39">
        <v>0.0</v>
      </c>
      <c r="V111" s="39">
        <v>0.0</v>
      </c>
      <c r="W111" s="39">
        <v>0.0</v>
      </c>
      <c r="X111" s="39">
        <v>0.0</v>
      </c>
      <c r="Y111" s="39">
        <v>0.0</v>
      </c>
      <c r="AC111" s="39">
        <v>300.0</v>
      </c>
      <c r="AE111" s="39">
        <v>1.0</v>
      </c>
    </row>
    <row r="112">
      <c r="A112" s="20" t="s">
        <v>1135</v>
      </c>
      <c r="D112" s="39" t="s">
        <v>499</v>
      </c>
      <c r="E112" s="39" t="s">
        <v>9</v>
      </c>
      <c r="F112" s="39" t="s">
        <v>397</v>
      </c>
      <c r="G112" s="39" t="s">
        <v>1010</v>
      </c>
      <c r="L112" s="39" t="s">
        <v>102</v>
      </c>
      <c r="N112" s="39" t="s">
        <v>81</v>
      </c>
      <c r="O112" s="39" t="s">
        <v>68</v>
      </c>
      <c r="Q112" s="39">
        <v>1.0</v>
      </c>
      <c r="R112" s="39">
        <v>0.0</v>
      </c>
      <c r="S112" s="39">
        <v>0.0</v>
      </c>
      <c r="T112" s="39">
        <v>0.0</v>
      </c>
      <c r="U112" s="39">
        <v>0.0</v>
      </c>
      <c r="V112" s="39">
        <v>0.0</v>
      </c>
      <c r="W112" s="39">
        <v>0.0</v>
      </c>
      <c r="X112" s="39">
        <v>0.0</v>
      </c>
      <c r="Y112" s="39">
        <v>0.0</v>
      </c>
      <c r="AC112" s="39">
        <v>200.0</v>
      </c>
      <c r="AE112" s="39">
        <v>1.0</v>
      </c>
    </row>
    <row r="113">
      <c r="A113" s="20" t="s">
        <v>1136</v>
      </c>
      <c r="B113" s="39" t="s">
        <v>62</v>
      </c>
      <c r="C113" s="39" t="s">
        <v>62</v>
      </c>
      <c r="D113" s="39" t="s">
        <v>499</v>
      </c>
      <c r="E113" s="39" t="s">
        <v>9</v>
      </c>
      <c r="F113" s="39" t="s">
        <v>397</v>
      </c>
      <c r="L113" s="39" t="s">
        <v>66</v>
      </c>
      <c r="N113" s="39" t="s">
        <v>67</v>
      </c>
      <c r="O113" s="39" t="s">
        <v>81</v>
      </c>
      <c r="Q113" s="39">
        <v>0.0</v>
      </c>
      <c r="R113" s="39">
        <v>0.0</v>
      </c>
      <c r="S113" s="39">
        <v>1.0</v>
      </c>
      <c r="T113" s="39">
        <v>0.0</v>
      </c>
      <c r="U113" s="39">
        <v>0.0</v>
      </c>
      <c r="V113" s="39">
        <v>1.0</v>
      </c>
      <c r="W113" s="39">
        <v>0.0</v>
      </c>
      <c r="X113" s="39">
        <v>1.0</v>
      </c>
      <c r="Y113" s="39">
        <v>2.0</v>
      </c>
      <c r="Z113" s="30" t="s">
        <v>1137</v>
      </c>
      <c r="AA113" s="30" t="s">
        <v>1138</v>
      </c>
      <c r="AC113" s="39">
        <v>300.0</v>
      </c>
      <c r="AE113" s="39">
        <v>1.0</v>
      </c>
    </row>
    <row r="114">
      <c r="A114" s="20" t="s">
        <v>654</v>
      </c>
      <c r="B114" s="39" t="s">
        <v>62</v>
      </c>
      <c r="C114" s="39" t="s">
        <v>62</v>
      </c>
      <c r="D114" s="39" t="s">
        <v>499</v>
      </c>
      <c r="E114" s="39" t="s">
        <v>9</v>
      </c>
      <c r="F114" s="39" t="s">
        <v>397</v>
      </c>
      <c r="L114" s="39" t="s">
        <v>66</v>
      </c>
      <c r="N114" s="39" t="s">
        <v>81</v>
      </c>
      <c r="O114" s="39" t="s">
        <v>67</v>
      </c>
      <c r="Q114" s="39">
        <v>1.0</v>
      </c>
      <c r="R114" s="39">
        <v>0.0</v>
      </c>
      <c r="S114" s="39">
        <v>0.0</v>
      </c>
      <c r="T114" s="39">
        <v>0.0</v>
      </c>
      <c r="U114" s="39">
        <v>0.0</v>
      </c>
      <c r="V114" s="39">
        <v>1.0</v>
      </c>
      <c r="W114" s="39">
        <v>0.0</v>
      </c>
      <c r="X114" s="39">
        <v>0.0</v>
      </c>
      <c r="Y114" s="39">
        <v>1.0</v>
      </c>
      <c r="Z114" s="30" t="s">
        <v>1139</v>
      </c>
      <c r="AA114" s="30" t="s">
        <v>97</v>
      </c>
      <c r="AC114" s="39">
        <v>200.0</v>
      </c>
      <c r="AE114" s="39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499</v>
      </c>
      <c r="B2" s="39" t="s">
        <v>9</v>
      </c>
      <c r="C2" s="39" t="s">
        <v>397</v>
      </c>
      <c r="D2" s="41" t="s">
        <v>1152</v>
      </c>
      <c r="E2" s="41" t="s">
        <v>1153</v>
      </c>
      <c r="H2" s="39">
        <v>65.0</v>
      </c>
      <c r="M2" s="39" t="s">
        <v>1154</v>
      </c>
      <c r="O2" s="39" t="s">
        <v>930</v>
      </c>
    </row>
    <row r="3">
      <c r="A3" s="39" t="s">
        <v>499</v>
      </c>
      <c r="B3" s="39" t="s">
        <v>9</v>
      </c>
      <c r="C3" s="39" t="s">
        <v>397</v>
      </c>
      <c r="D3" s="41" t="s">
        <v>1155</v>
      </c>
      <c r="E3" s="41" t="s">
        <v>1156</v>
      </c>
      <c r="H3" s="39">
        <v>15.0</v>
      </c>
      <c r="M3" s="39" t="s">
        <v>1157</v>
      </c>
    </row>
    <row r="4">
      <c r="A4" s="39" t="s">
        <v>499</v>
      </c>
      <c r="B4" s="39" t="s">
        <v>9</v>
      </c>
      <c r="C4" s="39" t="s">
        <v>397</v>
      </c>
      <c r="D4" s="41" t="s">
        <v>1158</v>
      </c>
      <c r="E4" s="41" t="s">
        <v>1159</v>
      </c>
      <c r="H4" s="39">
        <v>80.0</v>
      </c>
      <c r="M4" s="39" t="s">
        <v>1160</v>
      </c>
      <c r="O4" s="39" t="s">
        <v>976</v>
      </c>
    </row>
    <row r="5">
      <c r="A5" s="39" t="s">
        <v>499</v>
      </c>
      <c r="B5" s="39" t="s">
        <v>9</v>
      </c>
      <c r="C5" s="39" t="s">
        <v>397</v>
      </c>
      <c r="D5" s="41" t="s">
        <v>1161</v>
      </c>
      <c r="E5" s="41" t="s">
        <v>1162</v>
      </c>
      <c r="H5" s="39">
        <v>85.0</v>
      </c>
      <c r="M5" s="39" t="s">
        <v>1163</v>
      </c>
      <c r="O5" s="39" t="s">
        <v>984</v>
      </c>
    </row>
    <row r="6">
      <c r="A6" s="39" t="s">
        <v>499</v>
      </c>
      <c r="B6" s="39" t="s">
        <v>9</v>
      </c>
      <c r="C6" s="39" t="s">
        <v>397</v>
      </c>
      <c r="D6" s="41" t="s">
        <v>1164</v>
      </c>
      <c r="E6" s="41" t="s">
        <v>1165</v>
      </c>
      <c r="H6" s="39">
        <v>70.0</v>
      </c>
      <c r="M6" s="39" t="s">
        <v>1166</v>
      </c>
      <c r="O6" s="39" t="s">
        <v>1007</v>
      </c>
    </row>
    <row r="7">
      <c r="A7" s="39" t="s">
        <v>499</v>
      </c>
      <c r="B7" s="39" t="s">
        <v>9</v>
      </c>
      <c r="C7" s="39" t="s">
        <v>397</v>
      </c>
      <c r="D7" s="41" t="s">
        <v>1167</v>
      </c>
      <c r="E7" s="41" t="s">
        <v>1168</v>
      </c>
      <c r="H7" s="39">
        <v>65.0</v>
      </c>
      <c r="M7" s="39" t="s">
        <v>1169</v>
      </c>
      <c r="O7" s="39" t="s">
        <v>1020</v>
      </c>
    </row>
    <row r="8">
      <c r="A8" s="39" t="s">
        <v>499</v>
      </c>
      <c r="B8" s="39" t="s">
        <v>9</v>
      </c>
      <c r="C8" s="39" t="s">
        <v>397</v>
      </c>
      <c r="D8" s="41" t="s">
        <v>1170</v>
      </c>
      <c r="E8" s="41" t="s">
        <v>1171</v>
      </c>
      <c r="H8" s="39">
        <v>65.0</v>
      </c>
      <c r="M8" s="39" t="s">
        <v>1169</v>
      </c>
      <c r="O8" s="39" t="s">
        <v>1067</v>
      </c>
    </row>
    <row r="9">
      <c r="A9" s="39" t="s">
        <v>499</v>
      </c>
      <c r="B9" s="39" t="s">
        <v>9</v>
      </c>
      <c r="C9" s="39" t="s">
        <v>397</v>
      </c>
      <c r="D9" s="41" t="s">
        <v>1172</v>
      </c>
      <c r="E9" s="41" t="s">
        <v>1173</v>
      </c>
      <c r="H9" s="39">
        <v>65.0</v>
      </c>
      <c r="M9" s="39" t="s">
        <v>1169</v>
      </c>
      <c r="O9" s="39" t="s">
        <v>1095</v>
      </c>
    </row>
    <row r="10">
      <c r="A10" s="39" t="s">
        <v>499</v>
      </c>
      <c r="B10" s="39" t="s">
        <v>9</v>
      </c>
      <c r="C10" s="39" t="s">
        <v>397</v>
      </c>
      <c r="D10" s="41" t="s">
        <v>1174</v>
      </c>
      <c r="E10" s="41" t="s">
        <v>1175</v>
      </c>
      <c r="H10" s="39">
        <v>30.0</v>
      </c>
      <c r="M10" s="39" t="s">
        <v>1176</v>
      </c>
      <c r="O10" s="39" t="s">
        <v>1136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8" max="8" width="11.0"/>
    <col customWidth="1" min="9" max="9" width="14.0"/>
    <col customWidth="1" min="10" max="10" width="8.0"/>
  </cols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20" t="s">
        <v>1177</v>
      </c>
      <c r="B2" s="39" t="s">
        <v>62</v>
      </c>
      <c r="C2" s="39" t="s">
        <v>1178</v>
      </c>
      <c r="D2" s="39" t="s">
        <v>673</v>
      </c>
      <c r="E2" s="39" t="s">
        <v>10</v>
      </c>
      <c r="F2" s="39" t="s">
        <v>64</v>
      </c>
      <c r="G2" s="39" t="s">
        <v>657</v>
      </c>
      <c r="H2" s="39" t="s">
        <v>1179</v>
      </c>
      <c r="I2" s="40">
        <v>0.0</v>
      </c>
      <c r="J2" s="39">
        <v>18.94306</v>
      </c>
      <c r="K2" s="39">
        <v>72.83492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0.0</v>
      </c>
      <c r="X2" s="39">
        <v>0.0</v>
      </c>
      <c r="Y2" s="39">
        <v>1.0</v>
      </c>
      <c r="Z2" s="30" t="s">
        <v>1180</v>
      </c>
      <c r="AA2" s="30" t="s">
        <v>97</v>
      </c>
      <c r="AC2" s="39">
        <v>250.0</v>
      </c>
      <c r="AE2" s="39">
        <v>1.0</v>
      </c>
    </row>
    <row r="3">
      <c r="A3" s="20" t="s">
        <v>1181</v>
      </c>
      <c r="B3" s="39" t="s">
        <v>62</v>
      </c>
      <c r="C3" s="39" t="s">
        <v>1178</v>
      </c>
      <c r="D3" s="39" t="s">
        <v>673</v>
      </c>
      <c r="E3" s="39" t="s">
        <v>10</v>
      </c>
      <c r="F3" s="39" t="s">
        <v>64</v>
      </c>
      <c r="G3" s="39" t="s">
        <v>1182</v>
      </c>
      <c r="H3" s="39" t="s">
        <v>1182</v>
      </c>
      <c r="I3" s="40">
        <v>0.416</v>
      </c>
      <c r="J3" s="49">
        <v>18.94616</v>
      </c>
      <c r="K3" s="49">
        <v>72.83637</v>
      </c>
      <c r="L3" s="2" t="s">
        <v>66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Z3" s="30" t="s">
        <v>1183</v>
      </c>
      <c r="AA3" s="30" t="s">
        <v>78</v>
      </c>
      <c r="AC3" s="39">
        <v>300.0</v>
      </c>
      <c r="AE3" s="39">
        <v>1.0</v>
      </c>
    </row>
    <row r="4">
      <c r="A4" s="20" t="s">
        <v>1184</v>
      </c>
      <c r="D4" s="39" t="s">
        <v>673</v>
      </c>
      <c r="E4" s="39" t="s">
        <v>10</v>
      </c>
      <c r="F4" s="39" t="s">
        <v>64</v>
      </c>
      <c r="G4" s="39" t="s">
        <v>1185</v>
      </c>
      <c r="H4" s="39" t="s">
        <v>1185</v>
      </c>
      <c r="I4" s="40">
        <v>0.895</v>
      </c>
      <c r="J4" s="49">
        <v>18.95005</v>
      </c>
      <c r="K4" s="49">
        <v>72.83814</v>
      </c>
      <c r="L4" s="40" t="s">
        <v>102</v>
      </c>
      <c r="N4" s="39" t="s">
        <v>81</v>
      </c>
      <c r="O4" s="39" t="s">
        <v>67</v>
      </c>
      <c r="Q4" s="39">
        <v>1.0</v>
      </c>
      <c r="R4" s="39">
        <v>0.0</v>
      </c>
      <c r="S4" s="39">
        <v>0.0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250.0</v>
      </c>
      <c r="AE4" s="39">
        <v>1.0</v>
      </c>
    </row>
    <row r="5">
      <c r="A5" s="20" t="s">
        <v>1186</v>
      </c>
      <c r="D5" s="39" t="s">
        <v>673</v>
      </c>
      <c r="E5" s="39" t="s">
        <v>10</v>
      </c>
      <c r="F5" s="39" t="s">
        <v>64</v>
      </c>
      <c r="G5" s="39" t="s">
        <v>1187</v>
      </c>
      <c r="H5" s="39" t="s">
        <v>1188</v>
      </c>
      <c r="I5" s="40">
        <v>1.275</v>
      </c>
      <c r="J5" s="49">
        <v>18.95342</v>
      </c>
      <c r="K5" s="49">
        <v>72.83806</v>
      </c>
      <c r="L5" s="40" t="s">
        <v>102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250.0</v>
      </c>
      <c r="AE5" s="39">
        <v>1.0</v>
      </c>
    </row>
    <row r="6">
      <c r="A6" s="20" t="s">
        <v>1189</v>
      </c>
      <c r="D6" s="39" t="s">
        <v>673</v>
      </c>
      <c r="E6" s="39" t="s">
        <v>10</v>
      </c>
      <c r="F6" s="39" t="s">
        <v>64</v>
      </c>
      <c r="G6" s="39" t="s">
        <v>1190</v>
      </c>
      <c r="H6" s="39" t="s">
        <v>1190</v>
      </c>
      <c r="I6" s="40">
        <v>1.702</v>
      </c>
      <c r="J6" s="49">
        <v>18.95722</v>
      </c>
      <c r="K6" s="49">
        <v>72.83844</v>
      </c>
      <c r="L6" s="40" t="s">
        <v>102</v>
      </c>
      <c r="N6" s="39" t="s">
        <v>67</v>
      </c>
      <c r="O6" s="39" t="s">
        <v>81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400.0</v>
      </c>
      <c r="AE6" s="39">
        <v>1.0</v>
      </c>
    </row>
    <row r="7">
      <c r="A7" s="20" t="s">
        <v>1191</v>
      </c>
      <c r="D7" s="39" t="s">
        <v>673</v>
      </c>
      <c r="E7" s="39" t="s">
        <v>10</v>
      </c>
      <c r="F7" s="39" t="s">
        <v>64</v>
      </c>
      <c r="G7" s="50" t="s">
        <v>1192</v>
      </c>
      <c r="H7" s="39" t="s">
        <v>1193</v>
      </c>
      <c r="I7" s="40">
        <v>2.38</v>
      </c>
      <c r="J7" s="49">
        <v>18.95722</v>
      </c>
      <c r="K7" s="49">
        <v>72.83844</v>
      </c>
      <c r="L7" s="40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250.0</v>
      </c>
      <c r="AE7" s="39">
        <v>1.0</v>
      </c>
    </row>
    <row r="8">
      <c r="A8" s="20" t="s">
        <v>1194</v>
      </c>
      <c r="D8" s="39" t="s">
        <v>673</v>
      </c>
      <c r="E8" s="39" t="s">
        <v>10</v>
      </c>
      <c r="F8" s="39" t="s">
        <v>64</v>
      </c>
      <c r="G8" s="51" t="s">
        <v>1195</v>
      </c>
      <c r="H8" s="39" t="s">
        <v>1195</v>
      </c>
      <c r="I8" s="40">
        <v>2.691</v>
      </c>
      <c r="J8" s="49">
        <v>18.96472</v>
      </c>
      <c r="K8" s="49">
        <v>72.84308</v>
      </c>
      <c r="L8" s="40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500.0</v>
      </c>
      <c r="AE8" s="39">
        <v>1.0</v>
      </c>
    </row>
    <row r="9">
      <c r="A9" s="20" t="s">
        <v>1196</v>
      </c>
      <c r="D9" s="39" t="s">
        <v>673</v>
      </c>
      <c r="E9" s="39" t="s">
        <v>10</v>
      </c>
      <c r="F9" s="39" t="s">
        <v>64</v>
      </c>
      <c r="G9" s="52" t="s">
        <v>1197</v>
      </c>
      <c r="H9" s="39" t="s">
        <v>1198</v>
      </c>
      <c r="I9" s="40">
        <v>3.104</v>
      </c>
      <c r="J9" s="49">
        <v>18.96805</v>
      </c>
      <c r="K9" s="49">
        <v>72.84444</v>
      </c>
      <c r="L9" s="40" t="s">
        <v>102</v>
      </c>
      <c r="N9" s="39" t="s">
        <v>81</v>
      </c>
      <c r="O9" s="39" t="s">
        <v>67</v>
      </c>
      <c r="Q9" s="39">
        <v>1.0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250.0</v>
      </c>
      <c r="AE9" s="39">
        <v>1.0</v>
      </c>
    </row>
    <row r="10">
      <c r="A10" s="20" t="s">
        <v>1199</v>
      </c>
      <c r="D10" s="39" t="s">
        <v>673</v>
      </c>
      <c r="E10" s="39" t="s">
        <v>10</v>
      </c>
      <c r="F10" s="39" t="s">
        <v>64</v>
      </c>
      <c r="G10" s="51" t="s">
        <v>1200</v>
      </c>
      <c r="H10" s="51" t="s">
        <v>1200</v>
      </c>
      <c r="I10" s="40">
        <v>3.498</v>
      </c>
      <c r="J10" s="49">
        <v>18.97149</v>
      </c>
      <c r="K10" s="49">
        <v>72.84469</v>
      </c>
      <c r="L10" s="40" t="s">
        <v>102</v>
      </c>
      <c r="N10" s="39" t="s">
        <v>67</v>
      </c>
      <c r="O10" s="39" t="s">
        <v>81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300.0</v>
      </c>
      <c r="AE10" s="39">
        <v>1.0</v>
      </c>
    </row>
    <row r="11">
      <c r="A11" s="20" t="s">
        <v>1201</v>
      </c>
      <c r="D11" s="39" t="s">
        <v>673</v>
      </c>
      <c r="E11" s="39" t="s">
        <v>10</v>
      </c>
      <c r="F11" s="39" t="s">
        <v>64</v>
      </c>
      <c r="G11" s="51" t="s">
        <v>1202</v>
      </c>
      <c r="H11" s="51" t="s">
        <v>1202</v>
      </c>
      <c r="I11" s="40">
        <v>3.906</v>
      </c>
      <c r="J11" s="49">
        <v>18.97516</v>
      </c>
      <c r="K11" s="49">
        <v>72.84487</v>
      </c>
      <c r="L11" s="40" t="s">
        <v>102</v>
      </c>
      <c r="N11" s="39" t="s">
        <v>119</v>
      </c>
      <c r="O11" s="39" t="s">
        <v>68</v>
      </c>
      <c r="Q11" s="39">
        <v>0.0</v>
      </c>
      <c r="R11" s="39">
        <v>1.0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350.0</v>
      </c>
      <c r="AE11" s="39">
        <v>1.0</v>
      </c>
    </row>
    <row r="12">
      <c r="A12" s="20" t="s">
        <v>1203</v>
      </c>
      <c r="D12" s="39" t="s">
        <v>673</v>
      </c>
      <c r="E12" s="39" t="s">
        <v>10</v>
      </c>
      <c r="F12" s="39" t="s">
        <v>64</v>
      </c>
      <c r="G12" s="51" t="s">
        <v>1204</v>
      </c>
      <c r="H12" s="39" t="s">
        <v>1205</v>
      </c>
      <c r="I12" s="40">
        <v>4.42</v>
      </c>
      <c r="J12" s="49">
        <v>18.97962</v>
      </c>
      <c r="K12" s="49">
        <v>72.8437</v>
      </c>
      <c r="L12" s="40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400.0</v>
      </c>
      <c r="AE12" s="39">
        <v>1.0</v>
      </c>
    </row>
    <row r="13">
      <c r="A13" s="20" t="s">
        <v>1206</v>
      </c>
      <c r="D13" s="39" t="s">
        <v>673</v>
      </c>
      <c r="E13" s="39" t="s">
        <v>10</v>
      </c>
      <c r="F13" s="39" t="s">
        <v>64</v>
      </c>
      <c r="G13" s="51" t="s">
        <v>1207</v>
      </c>
      <c r="H13" s="51" t="s">
        <v>1207</v>
      </c>
      <c r="I13" s="40">
        <v>4.975</v>
      </c>
      <c r="J13" s="49">
        <v>18.98446</v>
      </c>
      <c r="K13" s="49">
        <v>72.84256</v>
      </c>
      <c r="L13" s="40" t="s">
        <v>102</v>
      </c>
      <c r="N13" s="39" t="s">
        <v>67</v>
      </c>
      <c r="O13" s="39" t="s">
        <v>81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700.0</v>
      </c>
      <c r="AE13" s="39">
        <v>1.0</v>
      </c>
    </row>
    <row r="14">
      <c r="A14" s="20" t="s">
        <v>1208</v>
      </c>
      <c r="D14" s="39" t="s">
        <v>673</v>
      </c>
      <c r="E14" s="39" t="s">
        <v>10</v>
      </c>
      <c r="F14" s="39" t="s">
        <v>64</v>
      </c>
      <c r="G14" s="52" t="s">
        <v>1209</v>
      </c>
      <c r="H14" s="39" t="s">
        <v>1210</v>
      </c>
      <c r="I14" s="40">
        <v>5.395</v>
      </c>
      <c r="J14" s="49">
        <v>18.98762</v>
      </c>
      <c r="K14" s="49">
        <v>72.84456</v>
      </c>
      <c r="L14" s="40" t="s">
        <v>102</v>
      </c>
      <c r="N14" s="39" t="s">
        <v>67</v>
      </c>
      <c r="O14" s="39" t="s">
        <v>81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200.0</v>
      </c>
      <c r="AE14" s="39">
        <v>1.0</v>
      </c>
    </row>
    <row r="15">
      <c r="A15" s="20" t="s">
        <v>1211</v>
      </c>
      <c r="D15" s="39" t="s">
        <v>673</v>
      </c>
      <c r="E15" s="39" t="s">
        <v>10</v>
      </c>
      <c r="F15" s="39" t="s">
        <v>64</v>
      </c>
      <c r="G15" s="51" t="s">
        <v>1212</v>
      </c>
      <c r="H15" s="51" t="s">
        <v>1212</v>
      </c>
      <c r="I15" s="40">
        <v>5.934</v>
      </c>
      <c r="J15" s="49">
        <v>18.99059</v>
      </c>
      <c r="K15" s="49">
        <v>72.84848</v>
      </c>
      <c r="L15" s="40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600.0</v>
      </c>
      <c r="AE15" s="39">
        <v>1.0</v>
      </c>
    </row>
    <row r="16">
      <c r="A16" s="20" t="s">
        <v>1213</v>
      </c>
      <c r="D16" s="39" t="s">
        <v>673</v>
      </c>
      <c r="E16" s="39" t="s">
        <v>10</v>
      </c>
      <c r="F16" s="39" t="s">
        <v>64</v>
      </c>
      <c r="G16" s="51" t="s">
        <v>1214</v>
      </c>
      <c r="H16" s="51" t="s">
        <v>1214</v>
      </c>
      <c r="I16" s="40">
        <v>6.321</v>
      </c>
      <c r="J16" s="49">
        <v>18.99299</v>
      </c>
      <c r="K16" s="49">
        <v>72.85151</v>
      </c>
      <c r="L16" s="40" t="s">
        <v>102</v>
      </c>
      <c r="N16" s="39" t="s">
        <v>119</v>
      </c>
      <c r="O16" s="39" t="s">
        <v>67</v>
      </c>
      <c r="Q16" s="39">
        <v>0.0</v>
      </c>
      <c r="R16" s="39">
        <v>1.0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600.0</v>
      </c>
      <c r="AE16" s="39">
        <v>1.0</v>
      </c>
    </row>
    <row r="17">
      <c r="A17" s="20" t="s">
        <v>1215</v>
      </c>
      <c r="D17" s="39" t="s">
        <v>673</v>
      </c>
      <c r="E17" s="39" t="s">
        <v>10</v>
      </c>
      <c r="F17" s="39" t="s">
        <v>64</v>
      </c>
      <c r="G17" s="51" t="s">
        <v>1216</v>
      </c>
      <c r="H17" s="51" t="s">
        <v>1216</v>
      </c>
      <c r="I17" s="40">
        <v>6.734</v>
      </c>
      <c r="J17" s="49">
        <v>18.99608</v>
      </c>
      <c r="K17" s="49">
        <v>72.85327</v>
      </c>
      <c r="L17" s="40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1.0</v>
      </c>
      <c r="V17" s="39">
        <v>0.0</v>
      </c>
      <c r="W17" s="39">
        <v>0.0</v>
      </c>
      <c r="X17" s="39">
        <v>0.0</v>
      </c>
      <c r="Y17" s="39">
        <v>0.0</v>
      </c>
      <c r="AC17" s="39">
        <v>300.0</v>
      </c>
      <c r="AE17" s="39">
        <v>1.0</v>
      </c>
    </row>
    <row r="18">
      <c r="A18" s="20" t="s">
        <v>1217</v>
      </c>
      <c r="D18" s="39" t="s">
        <v>673</v>
      </c>
      <c r="E18" s="39" t="s">
        <v>10</v>
      </c>
      <c r="F18" s="39" t="s">
        <v>64</v>
      </c>
      <c r="G18" s="52" t="s">
        <v>1218</v>
      </c>
      <c r="H18" s="39" t="s">
        <v>1219</v>
      </c>
      <c r="I18" s="40">
        <v>7.16</v>
      </c>
      <c r="J18" s="49">
        <v>18.99966</v>
      </c>
      <c r="K18" s="49">
        <v>72.85485</v>
      </c>
      <c r="L18" s="40" t="s">
        <v>102</v>
      </c>
      <c r="N18" s="39" t="s">
        <v>67</v>
      </c>
      <c r="O18" s="39" t="s">
        <v>67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200.0</v>
      </c>
      <c r="AE18" s="39">
        <v>1.0</v>
      </c>
    </row>
    <row r="19">
      <c r="A19" s="20" t="s">
        <v>1220</v>
      </c>
      <c r="D19" s="39" t="s">
        <v>673</v>
      </c>
      <c r="E19" s="39" t="s">
        <v>10</v>
      </c>
      <c r="F19" s="39" t="s">
        <v>64</v>
      </c>
      <c r="G19" s="51" t="s">
        <v>1221</v>
      </c>
      <c r="H19" s="51" t="s">
        <v>1221</v>
      </c>
      <c r="I19" s="40">
        <v>7.754</v>
      </c>
      <c r="J19" s="49">
        <v>19.00489</v>
      </c>
      <c r="K19" s="49">
        <v>72.85522</v>
      </c>
      <c r="L19" s="40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400.0</v>
      </c>
      <c r="AE19" s="39">
        <v>1.0</v>
      </c>
    </row>
    <row r="20">
      <c r="A20" s="20" t="s">
        <v>1222</v>
      </c>
      <c r="D20" s="39" t="s">
        <v>673</v>
      </c>
      <c r="E20" s="39" t="s">
        <v>10</v>
      </c>
      <c r="F20" s="39" t="s">
        <v>64</v>
      </c>
      <c r="G20" s="51" t="s">
        <v>1223</v>
      </c>
      <c r="H20" s="51" t="s">
        <v>1223</v>
      </c>
      <c r="I20" s="40">
        <v>8.285</v>
      </c>
      <c r="J20" s="49">
        <v>19.00967</v>
      </c>
      <c r="K20" s="49">
        <v>72.85536</v>
      </c>
      <c r="L20" s="40" t="s">
        <v>102</v>
      </c>
      <c r="N20" s="39" t="s">
        <v>67</v>
      </c>
      <c r="O20" s="39" t="s">
        <v>81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400.0</v>
      </c>
      <c r="AE20" s="39">
        <v>1.0</v>
      </c>
    </row>
    <row r="21">
      <c r="A21" s="20" t="s">
        <v>1224</v>
      </c>
      <c r="B21" s="39" t="s">
        <v>1225</v>
      </c>
      <c r="C21" s="39" t="s">
        <v>1226</v>
      </c>
      <c r="D21" s="39" t="s">
        <v>673</v>
      </c>
      <c r="E21" s="39" t="s">
        <v>10</v>
      </c>
      <c r="F21" s="39" t="s">
        <v>64</v>
      </c>
      <c r="G21" s="51" t="s">
        <v>1227</v>
      </c>
      <c r="H21" s="51" t="s">
        <v>1227</v>
      </c>
      <c r="I21" s="40">
        <v>8.708</v>
      </c>
      <c r="J21" s="49">
        <v>19.0137</v>
      </c>
      <c r="K21" s="49">
        <v>72.85691</v>
      </c>
      <c r="L21" s="2" t="s">
        <v>66</v>
      </c>
      <c r="N21" s="39" t="s">
        <v>67</v>
      </c>
      <c r="O21" s="39" t="s">
        <v>81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1.0</v>
      </c>
      <c r="W21" s="39">
        <v>0.0</v>
      </c>
      <c r="X21" s="39">
        <v>0.0</v>
      </c>
      <c r="Y21" s="39">
        <v>1.0</v>
      </c>
      <c r="Z21" s="30" t="s">
        <v>1100</v>
      </c>
      <c r="AA21" s="30" t="s">
        <v>97</v>
      </c>
      <c r="AC21" s="39">
        <v>400.0</v>
      </c>
      <c r="AE21" s="39">
        <v>1.0</v>
      </c>
    </row>
    <row r="22">
      <c r="A22" s="20" t="s">
        <v>1228</v>
      </c>
      <c r="B22" s="39" t="s">
        <v>1225</v>
      </c>
      <c r="C22" s="39" t="s">
        <v>1226</v>
      </c>
      <c r="D22" s="39" t="s">
        <v>673</v>
      </c>
      <c r="E22" s="39" t="s">
        <v>10</v>
      </c>
      <c r="F22" s="39" t="s">
        <v>64</v>
      </c>
      <c r="G22" s="51" t="s">
        <v>1229</v>
      </c>
      <c r="H22" s="39" t="s">
        <v>1230</v>
      </c>
      <c r="I22" s="40">
        <v>9.292</v>
      </c>
      <c r="J22" s="49">
        <v>19.01746</v>
      </c>
      <c r="K22" s="49">
        <v>72.85987</v>
      </c>
      <c r="L22" s="2" t="s">
        <v>66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250.0</v>
      </c>
      <c r="AE22" s="39">
        <v>1.0</v>
      </c>
    </row>
    <row r="23">
      <c r="A23" s="20" t="s">
        <v>1231</v>
      </c>
      <c r="B23" s="39" t="s">
        <v>1225</v>
      </c>
      <c r="C23" s="39" t="s">
        <v>1226</v>
      </c>
      <c r="D23" s="39" t="s">
        <v>673</v>
      </c>
      <c r="E23" s="39" t="s">
        <v>10</v>
      </c>
      <c r="F23" s="39" t="s">
        <v>64</v>
      </c>
      <c r="G23" s="53" t="s">
        <v>1232</v>
      </c>
      <c r="H23" s="53" t="s">
        <v>1232</v>
      </c>
      <c r="I23" s="40">
        <v>9.636</v>
      </c>
      <c r="J23" s="49">
        <v>19.02037</v>
      </c>
      <c r="K23" s="49">
        <v>72.86103</v>
      </c>
      <c r="L23" s="2" t="s">
        <v>66</v>
      </c>
      <c r="N23" s="39" t="s">
        <v>67</v>
      </c>
      <c r="O23" s="39" t="s">
        <v>67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1.0</v>
      </c>
      <c r="W23" s="39">
        <v>0.0</v>
      </c>
      <c r="X23" s="39">
        <v>0.0</v>
      </c>
      <c r="Y23" s="39">
        <v>1.0</v>
      </c>
      <c r="Z23" s="30" t="s">
        <v>1233</v>
      </c>
      <c r="AA23" s="30" t="s">
        <v>97</v>
      </c>
      <c r="AC23" s="39">
        <v>250.0</v>
      </c>
      <c r="AE23" s="39">
        <v>1.0</v>
      </c>
    </row>
    <row r="24">
      <c r="A24" s="20" t="s">
        <v>1234</v>
      </c>
      <c r="B24" s="39" t="s">
        <v>1225</v>
      </c>
      <c r="C24" s="39" t="s">
        <v>1226</v>
      </c>
      <c r="D24" s="39" t="s">
        <v>673</v>
      </c>
      <c r="E24" s="39" t="s">
        <v>10</v>
      </c>
      <c r="F24" s="39" t="s">
        <v>64</v>
      </c>
      <c r="G24" s="54" t="s">
        <v>1235</v>
      </c>
      <c r="H24" s="54" t="s">
        <v>1235</v>
      </c>
      <c r="I24" s="40">
        <v>10.191</v>
      </c>
      <c r="J24" s="49">
        <v>19.02566</v>
      </c>
      <c r="K24" s="49">
        <v>72.86075</v>
      </c>
      <c r="L24" s="2" t="s">
        <v>66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400.0</v>
      </c>
      <c r="AE24" s="39">
        <v>1.0</v>
      </c>
    </row>
    <row r="25">
      <c r="A25" s="20" t="s">
        <v>1236</v>
      </c>
      <c r="D25" s="39" t="s">
        <v>673</v>
      </c>
      <c r="E25" s="39" t="s">
        <v>10</v>
      </c>
      <c r="F25" s="39" t="s">
        <v>64</v>
      </c>
      <c r="G25" s="54" t="s">
        <v>1237</v>
      </c>
      <c r="H25" s="54" t="s">
        <v>1237</v>
      </c>
      <c r="I25" s="40">
        <v>11.1</v>
      </c>
      <c r="J25" s="49">
        <v>19.03338</v>
      </c>
      <c r="K25" s="49">
        <v>72.86107</v>
      </c>
      <c r="L25" s="40" t="s">
        <v>102</v>
      </c>
      <c r="N25" s="39" t="s">
        <v>67</v>
      </c>
      <c r="O25" s="39" t="s">
        <v>81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400.0</v>
      </c>
      <c r="AE25" s="39">
        <v>1.0</v>
      </c>
    </row>
    <row r="26">
      <c r="A26" s="20" t="s">
        <v>1238</v>
      </c>
      <c r="D26" s="39" t="s">
        <v>673</v>
      </c>
      <c r="E26" s="39" t="s">
        <v>10</v>
      </c>
      <c r="F26" s="39" t="s">
        <v>64</v>
      </c>
      <c r="G26" s="51" t="s">
        <v>1239</v>
      </c>
      <c r="H26" s="39" t="s">
        <v>1240</v>
      </c>
      <c r="I26" s="40">
        <v>11.855</v>
      </c>
      <c r="J26" s="49">
        <v>19.0391</v>
      </c>
      <c r="K26" s="49">
        <v>72.86523</v>
      </c>
      <c r="L26" s="40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400.0</v>
      </c>
      <c r="AE26" s="39">
        <v>1.0</v>
      </c>
    </row>
    <row r="27">
      <c r="A27" s="20" t="s">
        <v>1241</v>
      </c>
      <c r="D27" s="39" t="s">
        <v>673</v>
      </c>
      <c r="E27" s="39" t="s">
        <v>10</v>
      </c>
      <c r="F27" s="39" t="s">
        <v>64</v>
      </c>
      <c r="G27" s="51" t="s">
        <v>1242</v>
      </c>
      <c r="H27" s="51" t="s">
        <v>1242</v>
      </c>
      <c r="I27" s="40">
        <v>12.505</v>
      </c>
      <c r="J27" s="49">
        <v>19.0437</v>
      </c>
      <c r="K27" s="49">
        <v>72.86874</v>
      </c>
      <c r="L27" s="40" t="s">
        <v>102</v>
      </c>
      <c r="N27" s="39" t="s">
        <v>119</v>
      </c>
      <c r="O27" s="39" t="s">
        <v>67</v>
      </c>
      <c r="Q27" s="39">
        <v>0.0</v>
      </c>
      <c r="R27" s="39">
        <v>1.0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400.0</v>
      </c>
      <c r="AE27" s="39">
        <v>1.0</v>
      </c>
    </row>
    <row r="28">
      <c r="A28" s="20" t="s">
        <v>1243</v>
      </c>
      <c r="D28" s="39" t="s">
        <v>673</v>
      </c>
      <c r="E28" s="39" t="s">
        <v>10</v>
      </c>
      <c r="F28" s="39" t="s">
        <v>64</v>
      </c>
      <c r="G28" s="51" t="s">
        <v>1244</v>
      </c>
      <c r="H28" s="51" t="s">
        <v>1244</v>
      </c>
      <c r="I28" s="40">
        <v>13.003</v>
      </c>
      <c r="J28" s="49">
        <v>19.0481</v>
      </c>
      <c r="K28" s="49">
        <v>72.86951</v>
      </c>
      <c r="L28" s="40" t="s">
        <v>102</v>
      </c>
      <c r="N28" s="39" t="s">
        <v>119</v>
      </c>
      <c r="O28" s="39" t="s">
        <v>67</v>
      </c>
      <c r="Q28" s="39">
        <v>0.0</v>
      </c>
      <c r="R28" s="39">
        <v>1.0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350.0</v>
      </c>
      <c r="AE28" s="39">
        <v>1.0</v>
      </c>
    </row>
    <row r="29">
      <c r="A29" s="20" t="s">
        <v>1245</v>
      </c>
      <c r="D29" s="39" t="s">
        <v>673</v>
      </c>
      <c r="E29" s="39" t="s">
        <v>10</v>
      </c>
      <c r="F29" s="39" t="s">
        <v>64</v>
      </c>
      <c r="G29" s="51" t="s">
        <v>1246</v>
      </c>
      <c r="H29" s="39" t="s">
        <v>1247</v>
      </c>
      <c r="I29" s="40">
        <v>13.436</v>
      </c>
      <c r="J29" s="49">
        <v>19.05197</v>
      </c>
      <c r="K29" s="49">
        <v>72.869</v>
      </c>
      <c r="L29" s="40" t="s">
        <v>102</v>
      </c>
      <c r="N29" s="39" t="s">
        <v>67</v>
      </c>
      <c r="O29" s="39" t="s">
        <v>81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300.0</v>
      </c>
      <c r="AE29" s="39">
        <v>1.0</v>
      </c>
    </row>
    <row r="30">
      <c r="A30" s="20" t="s">
        <v>1248</v>
      </c>
      <c r="B30" s="39" t="s">
        <v>172</v>
      </c>
      <c r="C30" s="39" t="s">
        <v>173</v>
      </c>
      <c r="D30" s="39" t="s">
        <v>673</v>
      </c>
      <c r="E30" s="39" t="s">
        <v>10</v>
      </c>
      <c r="F30" s="39" t="s">
        <v>64</v>
      </c>
      <c r="G30" s="51" t="s">
        <v>1249</v>
      </c>
      <c r="H30" s="51" t="s">
        <v>1249</v>
      </c>
      <c r="I30" s="40">
        <v>13.722</v>
      </c>
      <c r="J30" s="49">
        <v>19.05528</v>
      </c>
      <c r="K30" s="49">
        <v>72.86973</v>
      </c>
      <c r="L30" s="2" t="s">
        <v>66</v>
      </c>
      <c r="N30" s="39" t="s">
        <v>67</v>
      </c>
      <c r="O30" s="39" t="s">
        <v>81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1.0</v>
      </c>
      <c r="W30" s="39">
        <v>0.0</v>
      </c>
      <c r="X30" s="39">
        <v>0.0</v>
      </c>
      <c r="Y30" s="39">
        <v>1.0</v>
      </c>
      <c r="Z30" s="30" t="s">
        <v>1250</v>
      </c>
      <c r="AA30" s="30" t="s">
        <v>97</v>
      </c>
      <c r="AC30" s="39">
        <v>300.0</v>
      </c>
      <c r="AE30" s="39">
        <v>1.0</v>
      </c>
    </row>
    <row r="31">
      <c r="A31" s="20" t="s">
        <v>1251</v>
      </c>
      <c r="B31" s="39" t="s">
        <v>172</v>
      </c>
      <c r="C31" s="39" t="s">
        <v>173</v>
      </c>
      <c r="D31" s="39" t="s">
        <v>673</v>
      </c>
      <c r="E31" s="39" t="s">
        <v>10</v>
      </c>
      <c r="F31" s="39" t="s">
        <v>64</v>
      </c>
      <c r="G31" s="51" t="s">
        <v>1252</v>
      </c>
      <c r="H31" s="51" t="s">
        <v>1252</v>
      </c>
      <c r="I31" s="40">
        <v>14.784</v>
      </c>
      <c r="J31" s="49">
        <v>19.06214</v>
      </c>
      <c r="K31" s="49">
        <v>72.87536</v>
      </c>
      <c r="L31" s="2" t="s">
        <v>66</v>
      </c>
      <c r="N31" s="39" t="s">
        <v>119</v>
      </c>
      <c r="O31" s="39" t="s">
        <v>81</v>
      </c>
      <c r="Q31" s="39">
        <v>0.0</v>
      </c>
      <c r="R31" s="39">
        <v>1.0</v>
      </c>
      <c r="S31" s="39">
        <v>0.0</v>
      </c>
      <c r="T31" s="39">
        <v>0.0</v>
      </c>
      <c r="U31" s="39">
        <v>0.0</v>
      </c>
      <c r="V31" s="39">
        <v>1.0</v>
      </c>
      <c r="W31" s="39">
        <v>0.0</v>
      </c>
      <c r="X31" s="39">
        <v>0.0</v>
      </c>
      <c r="Y31" s="39">
        <v>1.0</v>
      </c>
      <c r="Z31" s="30" t="s">
        <v>1253</v>
      </c>
      <c r="AA31" s="30" t="s">
        <v>97</v>
      </c>
      <c r="AC31" s="39">
        <v>500.0</v>
      </c>
      <c r="AE31" s="39">
        <v>1.0</v>
      </c>
    </row>
    <row r="32">
      <c r="A32" s="20" t="s">
        <v>1254</v>
      </c>
      <c r="B32" s="39" t="s">
        <v>172</v>
      </c>
      <c r="C32" s="39" t="s">
        <v>173</v>
      </c>
      <c r="D32" s="39" t="s">
        <v>673</v>
      </c>
      <c r="E32" s="39" t="s">
        <v>10</v>
      </c>
      <c r="F32" s="39" t="s">
        <v>64</v>
      </c>
      <c r="G32" s="51" t="s">
        <v>85</v>
      </c>
      <c r="H32" s="39" t="s">
        <v>1255</v>
      </c>
      <c r="I32" s="40">
        <v>15.481</v>
      </c>
      <c r="J32" s="49">
        <v>19.06589</v>
      </c>
      <c r="K32" s="49">
        <v>72.88057</v>
      </c>
      <c r="L32" s="2" t="s">
        <v>66</v>
      </c>
      <c r="N32" s="39" t="s">
        <v>81</v>
      </c>
      <c r="O32" s="39" t="s">
        <v>68</v>
      </c>
      <c r="Q32" s="39">
        <v>1.0</v>
      </c>
      <c r="R32" s="39">
        <v>0.0</v>
      </c>
      <c r="S32" s="39">
        <v>0.0</v>
      </c>
      <c r="T32" s="39">
        <v>0.0</v>
      </c>
      <c r="U32" s="39">
        <v>0.0</v>
      </c>
      <c r="V32" s="39">
        <v>1.0</v>
      </c>
      <c r="W32" s="39">
        <v>1.0</v>
      </c>
      <c r="X32" s="39">
        <v>1.0</v>
      </c>
      <c r="Y32" s="39">
        <v>0.0</v>
      </c>
      <c r="Z32" s="30" t="s">
        <v>1256</v>
      </c>
      <c r="AA32" s="30" t="s">
        <v>115</v>
      </c>
      <c r="AC32" s="39">
        <v>300.0</v>
      </c>
      <c r="AE32" s="39">
        <v>1.0</v>
      </c>
    </row>
    <row r="33">
      <c r="A33" s="20" t="s">
        <v>1257</v>
      </c>
      <c r="D33" s="39" t="s">
        <v>673</v>
      </c>
      <c r="E33" s="39" t="s">
        <v>10</v>
      </c>
      <c r="F33" s="39" t="s">
        <v>64</v>
      </c>
      <c r="G33" s="51" t="s">
        <v>1258</v>
      </c>
      <c r="H33" s="51" t="s">
        <v>1258</v>
      </c>
      <c r="I33" s="40">
        <v>16.225</v>
      </c>
      <c r="J33" s="49">
        <v>19.06665</v>
      </c>
      <c r="K33" s="49">
        <v>72.88725</v>
      </c>
      <c r="L33" s="40" t="s">
        <v>102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400.0</v>
      </c>
      <c r="AE33" s="39">
        <v>1.0</v>
      </c>
    </row>
    <row r="34">
      <c r="A34" s="20" t="s">
        <v>1259</v>
      </c>
      <c r="D34" s="39" t="s">
        <v>673</v>
      </c>
      <c r="E34" s="39" t="s">
        <v>10</v>
      </c>
      <c r="F34" s="39" t="s">
        <v>64</v>
      </c>
      <c r="G34" s="39" t="s">
        <v>1260</v>
      </c>
      <c r="H34" s="39" t="s">
        <v>1261</v>
      </c>
      <c r="I34" s="40">
        <v>16.722</v>
      </c>
      <c r="J34" s="49">
        <v>19.06547</v>
      </c>
      <c r="K34" s="49">
        <v>72.89166</v>
      </c>
      <c r="L34" s="40" t="s">
        <v>102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700.0</v>
      </c>
      <c r="AE34" s="39">
        <v>1.0</v>
      </c>
    </row>
    <row r="35">
      <c r="A35" s="20" t="s">
        <v>1262</v>
      </c>
      <c r="B35" s="39" t="s">
        <v>1263</v>
      </c>
      <c r="C35" s="39" t="s">
        <v>1264</v>
      </c>
      <c r="D35" s="39" t="s">
        <v>673</v>
      </c>
      <c r="E35" s="39" t="s">
        <v>10</v>
      </c>
      <c r="F35" s="39" t="s">
        <v>64</v>
      </c>
      <c r="G35" s="50" t="s">
        <v>1265</v>
      </c>
      <c r="H35" s="50" t="s">
        <v>1265</v>
      </c>
      <c r="I35" s="40">
        <v>17.414</v>
      </c>
      <c r="J35" s="49">
        <v>19.06392</v>
      </c>
      <c r="K35" s="49">
        <v>72.89799</v>
      </c>
      <c r="L35" s="2" t="s">
        <v>66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600.0</v>
      </c>
      <c r="AE35" s="39">
        <v>1.0</v>
      </c>
    </row>
    <row r="36">
      <c r="A36" s="20" t="s">
        <v>1266</v>
      </c>
      <c r="B36" s="39" t="s">
        <v>1263</v>
      </c>
      <c r="C36" s="39" t="s">
        <v>1264</v>
      </c>
      <c r="D36" s="39" t="s">
        <v>673</v>
      </c>
      <c r="E36" s="39" t="s">
        <v>10</v>
      </c>
      <c r="F36" s="39" t="s">
        <v>64</v>
      </c>
      <c r="G36" s="51" t="s">
        <v>1267</v>
      </c>
      <c r="H36" s="39" t="s">
        <v>1268</v>
      </c>
      <c r="I36" s="40">
        <v>17.97</v>
      </c>
      <c r="J36" s="49">
        <v>19.06197</v>
      </c>
      <c r="K36" s="49">
        <v>72.90284</v>
      </c>
      <c r="L36" s="2" t="s">
        <v>66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300.0</v>
      </c>
      <c r="AE36" s="39">
        <v>1.0</v>
      </c>
    </row>
    <row r="37">
      <c r="A37" s="20" t="s">
        <v>1269</v>
      </c>
      <c r="D37" s="39" t="s">
        <v>673</v>
      </c>
      <c r="E37" s="39" t="s">
        <v>10</v>
      </c>
      <c r="F37" s="39" t="s">
        <v>64</v>
      </c>
      <c r="G37" s="51" t="s">
        <v>1270</v>
      </c>
      <c r="H37" s="51" t="s">
        <v>1270</v>
      </c>
      <c r="I37" s="40">
        <v>18.483</v>
      </c>
      <c r="J37" s="49">
        <v>19.05993</v>
      </c>
      <c r="K37" s="49">
        <v>72.90717</v>
      </c>
      <c r="L37" s="40" t="s">
        <v>102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400.0</v>
      </c>
      <c r="AE37" s="39">
        <v>1.0</v>
      </c>
    </row>
    <row r="38">
      <c r="A38" s="20" t="s">
        <v>1271</v>
      </c>
      <c r="D38" s="39" t="s">
        <v>673</v>
      </c>
      <c r="E38" s="39" t="s">
        <v>10</v>
      </c>
      <c r="F38" s="39" t="s">
        <v>64</v>
      </c>
      <c r="G38" s="51" t="s">
        <v>1272</v>
      </c>
      <c r="H38" s="51" t="s">
        <v>1272</v>
      </c>
      <c r="I38" s="40">
        <v>19.003</v>
      </c>
      <c r="J38" s="49">
        <v>19.05767</v>
      </c>
      <c r="K38" s="49">
        <v>72.91166</v>
      </c>
      <c r="L38" s="40" t="s">
        <v>102</v>
      </c>
      <c r="N38" s="39" t="s">
        <v>67</v>
      </c>
      <c r="O38" s="39" t="s">
        <v>81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400.0</v>
      </c>
      <c r="AE38" s="39">
        <v>1.0</v>
      </c>
    </row>
    <row r="39">
      <c r="A39" s="20" t="s">
        <v>1273</v>
      </c>
      <c r="D39" s="39" t="s">
        <v>673</v>
      </c>
      <c r="E39" s="39" t="s">
        <v>10</v>
      </c>
      <c r="F39" s="39" t="s">
        <v>64</v>
      </c>
      <c r="G39" s="51" t="s">
        <v>1274</v>
      </c>
      <c r="H39" s="39" t="s">
        <v>1275</v>
      </c>
      <c r="I39" s="40">
        <v>19.615</v>
      </c>
      <c r="J39" s="49">
        <v>19.05462</v>
      </c>
      <c r="K39" s="49">
        <v>72.91642</v>
      </c>
      <c r="L39" s="40" t="s">
        <v>102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600.0</v>
      </c>
      <c r="AE39" s="39">
        <v>1.0</v>
      </c>
    </row>
    <row r="40">
      <c r="A40" s="20" t="s">
        <v>1276</v>
      </c>
      <c r="D40" s="39" t="s">
        <v>673</v>
      </c>
      <c r="E40" s="39" t="s">
        <v>10</v>
      </c>
      <c r="F40" s="39" t="s">
        <v>64</v>
      </c>
      <c r="G40" s="51" t="s">
        <v>1277</v>
      </c>
      <c r="H40" s="51" t="s">
        <v>1277</v>
      </c>
      <c r="I40" s="40">
        <v>20.19</v>
      </c>
      <c r="J40" s="49">
        <v>19.05175</v>
      </c>
      <c r="K40" s="49">
        <v>72.92094</v>
      </c>
      <c r="L40" s="40" t="s">
        <v>102</v>
      </c>
      <c r="N40" s="39" t="s">
        <v>67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1000.0</v>
      </c>
      <c r="AE40" s="39">
        <v>1.0</v>
      </c>
    </row>
    <row r="41">
      <c r="A41" s="20" t="s">
        <v>1278</v>
      </c>
      <c r="B41" s="39" t="s">
        <v>1279</v>
      </c>
      <c r="C41" s="39" t="s">
        <v>1280</v>
      </c>
      <c r="D41" s="39" t="s">
        <v>673</v>
      </c>
      <c r="E41" s="39" t="s">
        <v>10</v>
      </c>
      <c r="F41" s="39" t="s">
        <v>64</v>
      </c>
      <c r="G41" s="51" t="s">
        <v>1281</v>
      </c>
      <c r="H41" s="51" t="s">
        <v>1281</v>
      </c>
      <c r="I41" s="40">
        <v>20.694</v>
      </c>
      <c r="J41" s="49">
        <v>19.04941</v>
      </c>
      <c r="K41" s="49">
        <v>72.92508</v>
      </c>
      <c r="L41" s="2" t="s">
        <v>66</v>
      </c>
      <c r="N41" s="39" t="s">
        <v>67</v>
      </c>
      <c r="O41" s="39" t="s">
        <v>67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1.0</v>
      </c>
      <c r="W41" s="39">
        <v>0.0</v>
      </c>
      <c r="X41" s="39">
        <v>0.0</v>
      </c>
      <c r="Y41" s="39">
        <v>2.0</v>
      </c>
      <c r="Z41" s="30" t="s">
        <v>748</v>
      </c>
      <c r="AA41" s="30" t="s">
        <v>315</v>
      </c>
      <c r="AC41" s="39">
        <v>300.0</v>
      </c>
      <c r="AE41" s="39">
        <v>1.0</v>
      </c>
    </row>
    <row r="42">
      <c r="A42" s="20" t="s">
        <v>1282</v>
      </c>
      <c r="B42" s="39" t="s">
        <v>1279</v>
      </c>
      <c r="C42" s="39" t="s">
        <v>1280</v>
      </c>
      <c r="D42" s="39" t="s">
        <v>673</v>
      </c>
      <c r="E42" s="39" t="s">
        <v>10</v>
      </c>
      <c r="F42" s="39" t="s">
        <v>64</v>
      </c>
      <c r="G42" s="51" t="s">
        <v>1283</v>
      </c>
      <c r="H42" s="51" t="s">
        <v>1283</v>
      </c>
      <c r="I42" s="40">
        <v>21.084</v>
      </c>
      <c r="J42" s="49">
        <v>19.04821</v>
      </c>
      <c r="K42" s="49">
        <v>72.92847</v>
      </c>
      <c r="L42" s="2" t="s">
        <v>66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350.0</v>
      </c>
      <c r="AE42" s="39">
        <v>1.0</v>
      </c>
    </row>
    <row r="43">
      <c r="A43" s="20" t="s">
        <v>1284</v>
      </c>
      <c r="B43" s="39" t="s">
        <v>1279</v>
      </c>
      <c r="C43" s="39" t="s">
        <v>1280</v>
      </c>
      <c r="D43" s="39" t="s">
        <v>673</v>
      </c>
      <c r="E43" s="39" t="s">
        <v>10</v>
      </c>
      <c r="F43" s="39" t="s">
        <v>64</v>
      </c>
      <c r="G43" s="52" t="s">
        <v>1285</v>
      </c>
      <c r="H43" s="39" t="s">
        <v>1286</v>
      </c>
      <c r="I43" s="40">
        <v>21.607</v>
      </c>
      <c r="J43" s="49">
        <v>19.04896</v>
      </c>
      <c r="K43" s="49">
        <v>72.93308</v>
      </c>
      <c r="L43" s="2" t="s">
        <v>66</v>
      </c>
      <c r="N43" s="39" t="s">
        <v>67</v>
      </c>
      <c r="O43" s="39" t="s">
        <v>67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C43" s="39">
        <v>180.0</v>
      </c>
      <c r="AE43" s="39">
        <v>1.0</v>
      </c>
    </row>
    <row r="44">
      <c r="A44" s="20" t="s">
        <v>1287</v>
      </c>
      <c r="D44" s="39" t="s">
        <v>673</v>
      </c>
      <c r="E44" s="39" t="s">
        <v>10</v>
      </c>
      <c r="F44" s="39" t="s">
        <v>64</v>
      </c>
      <c r="G44" s="51" t="s">
        <v>1288</v>
      </c>
      <c r="H44" s="51" t="s">
        <v>1288</v>
      </c>
      <c r="I44" s="40">
        <v>21.985</v>
      </c>
      <c r="J44" s="49">
        <v>19.05039</v>
      </c>
      <c r="K44" s="49">
        <v>72.9363</v>
      </c>
      <c r="L44" s="40" t="s">
        <v>102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300.0</v>
      </c>
      <c r="AE44" s="39">
        <v>1.0</v>
      </c>
    </row>
    <row r="45">
      <c r="A45" s="20" t="s">
        <v>1289</v>
      </c>
      <c r="D45" s="39" t="s">
        <v>673</v>
      </c>
      <c r="E45" s="39" t="s">
        <v>10</v>
      </c>
      <c r="F45" s="39" t="s">
        <v>64</v>
      </c>
      <c r="G45" s="51" t="s">
        <v>1290</v>
      </c>
      <c r="H45" s="51" t="s">
        <v>1290</v>
      </c>
      <c r="I45" s="40">
        <v>22.385</v>
      </c>
      <c r="J45" s="49">
        <v>19.05154</v>
      </c>
      <c r="K45" s="49">
        <v>72.9398</v>
      </c>
      <c r="L45" s="40" t="s">
        <v>102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C45" s="39">
        <v>400.0</v>
      </c>
      <c r="AE45" s="39">
        <v>1.0</v>
      </c>
    </row>
    <row r="46">
      <c r="A46" s="20" t="s">
        <v>1291</v>
      </c>
      <c r="D46" s="39" t="s">
        <v>673</v>
      </c>
      <c r="E46" s="39" t="s">
        <v>10</v>
      </c>
      <c r="F46" s="39" t="s">
        <v>64</v>
      </c>
      <c r="G46" s="51" t="s">
        <v>1292</v>
      </c>
      <c r="H46" s="51" t="s">
        <v>1292</v>
      </c>
      <c r="I46" s="40">
        <v>22.78</v>
      </c>
      <c r="J46" s="49">
        <v>19.05282</v>
      </c>
      <c r="K46" s="49">
        <v>72.94338</v>
      </c>
      <c r="L46" s="40" t="s">
        <v>102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800.0</v>
      </c>
      <c r="AE46" s="39">
        <v>1.0</v>
      </c>
    </row>
    <row r="47">
      <c r="A47" s="20" t="s">
        <v>1293</v>
      </c>
      <c r="D47" s="39" t="s">
        <v>673</v>
      </c>
      <c r="E47" s="39" t="s">
        <v>10</v>
      </c>
      <c r="F47" s="39" t="s">
        <v>64</v>
      </c>
      <c r="G47" s="51" t="s">
        <v>1294</v>
      </c>
      <c r="H47" s="51" t="s">
        <v>1294</v>
      </c>
      <c r="I47" s="40">
        <v>23.2</v>
      </c>
      <c r="J47" s="49">
        <v>19.05416</v>
      </c>
      <c r="K47" s="49">
        <v>72.94716</v>
      </c>
      <c r="L47" s="40" t="s">
        <v>102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1200.0</v>
      </c>
      <c r="AE47" s="39">
        <v>1.0</v>
      </c>
    </row>
    <row r="48">
      <c r="A48" s="20" t="s">
        <v>1295</v>
      </c>
      <c r="D48" s="39" t="s">
        <v>673</v>
      </c>
      <c r="E48" s="39" t="s">
        <v>10</v>
      </c>
      <c r="F48" s="39" t="s">
        <v>64</v>
      </c>
      <c r="G48" s="51" t="s">
        <v>1296</v>
      </c>
      <c r="H48" s="51" t="s">
        <v>1296</v>
      </c>
      <c r="I48" s="40">
        <v>23.646</v>
      </c>
      <c r="J48" s="49">
        <v>19.05558</v>
      </c>
      <c r="K48" s="49">
        <v>72.95143</v>
      </c>
      <c r="L48" s="40" t="s">
        <v>102</v>
      </c>
      <c r="N48" s="39" t="s">
        <v>67</v>
      </c>
      <c r="O48" s="39" t="s">
        <v>81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1200.0</v>
      </c>
      <c r="AE48" s="39">
        <v>1.0</v>
      </c>
    </row>
    <row r="49">
      <c r="A49" s="20" t="s">
        <v>1297</v>
      </c>
      <c r="D49" s="39" t="s">
        <v>673</v>
      </c>
      <c r="E49" s="39" t="s">
        <v>10</v>
      </c>
      <c r="F49" s="39" t="s">
        <v>64</v>
      </c>
      <c r="G49" s="51" t="s">
        <v>1298</v>
      </c>
      <c r="H49" s="51" t="s">
        <v>1298</v>
      </c>
      <c r="I49" s="40">
        <v>24.028</v>
      </c>
      <c r="J49" s="49">
        <v>19.05651</v>
      </c>
      <c r="K49" s="49">
        <v>72.95458</v>
      </c>
      <c r="L49" s="40" t="s">
        <v>102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800.0</v>
      </c>
      <c r="AE49" s="39">
        <v>1.0</v>
      </c>
    </row>
    <row r="50">
      <c r="A50" s="20" t="s">
        <v>1299</v>
      </c>
      <c r="D50" s="39" t="s">
        <v>673</v>
      </c>
      <c r="E50" s="39" t="s">
        <v>10</v>
      </c>
      <c r="F50" s="39" t="s">
        <v>64</v>
      </c>
      <c r="G50" s="51" t="s">
        <v>1300</v>
      </c>
      <c r="H50" s="51" t="s">
        <v>1300</v>
      </c>
      <c r="I50" s="40">
        <v>24.637</v>
      </c>
      <c r="J50" s="49">
        <v>19.05806</v>
      </c>
      <c r="K50" s="49">
        <v>72.96032</v>
      </c>
      <c r="L50" s="40" t="s">
        <v>102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800.0</v>
      </c>
      <c r="AE50" s="39">
        <v>1.0</v>
      </c>
    </row>
    <row r="51">
      <c r="A51" s="20" t="s">
        <v>1301</v>
      </c>
      <c r="D51" s="39" t="s">
        <v>673</v>
      </c>
      <c r="E51" s="39" t="s">
        <v>10</v>
      </c>
      <c r="F51" s="39" t="s">
        <v>64</v>
      </c>
      <c r="G51" s="51" t="s">
        <v>1302</v>
      </c>
      <c r="H51" s="51" t="s">
        <v>1302</v>
      </c>
      <c r="I51" s="40">
        <v>25.164</v>
      </c>
      <c r="J51" s="49">
        <v>19.0592</v>
      </c>
      <c r="K51" s="49">
        <v>72.96515</v>
      </c>
      <c r="L51" s="40" t="s">
        <v>102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800.0</v>
      </c>
      <c r="AE51" s="39">
        <v>1.0</v>
      </c>
    </row>
    <row r="52">
      <c r="A52" s="20" t="s">
        <v>1303</v>
      </c>
      <c r="D52" s="39" t="s">
        <v>673</v>
      </c>
      <c r="E52" s="39" t="s">
        <v>10</v>
      </c>
      <c r="F52" s="39" t="s">
        <v>64</v>
      </c>
      <c r="G52" s="51" t="s">
        <v>1304</v>
      </c>
      <c r="H52" s="51" t="s">
        <v>1304</v>
      </c>
      <c r="I52" s="40">
        <v>25.66</v>
      </c>
      <c r="J52" s="49">
        <v>19.06025</v>
      </c>
      <c r="K52" s="49">
        <v>72.9696</v>
      </c>
      <c r="L52" s="40" t="s">
        <v>102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700.0</v>
      </c>
      <c r="AE52" s="39">
        <v>1.0</v>
      </c>
    </row>
    <row r="53">
      <c r="A53" s="20" t="s">
        <v>1305</v>
      </c>
      <c r="D53" s="39" t="s">
        <v>673</v>
      </c>
      <c r="E53" s="39" t="s">
        <v>10</v>
      </c>
      <c r="F53" s="39" t="s">
        <v>64</v>
      </c>
      <c r="G53" s="51" t="s">
        <v>1306</v>
      </c>
      <c r="H53" s="51" t="s">
        <v>1306</v>
      </c>
      <c r="I53" s="40">
        <v>26.142</v>
      </c>
      <c r="J53" s="49">
        <v>19.06129</v>
      </c>
      <c r="K53" s="49">
        <v>72.97403</v>
      </c>
      <c r="L53" s="40" t="s">
        <v>102</v>
      </c>
      <c r="N53" s="39" t="s">
        <v>67</v>
      </c>
      <c r="O53" s="39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C53" s="39">
        <v>600.0</v>
      </c>
      <c r="AE53" s="39">
        <v>1.0</v>
      </c>
    </row>
    <row r="54">
      <c r="A54" s="20" t="s">
        <v>1307</v>
      </c>
      <c r="D54" s="39" t="s">
        <v>673</v>
      </c>
      <c r="E54" s="39" t="s">
        <v>10</v>
      </c>
      <c r="F54" s="39" t="s">
        <v>64</v>
      </c>
      <c r="G54" s="51" t="s">
        <v>1308</v>
      </c>
      <c r="H54" s="51" t="s">
        <v>1308</v>
      </c>
      <c r="I54" s="40">
        <v>26.666</v>
      </c>
      <c r="J54" s="49">
        <v>19.06242</v>
      </c>
      <c r="K54" s="49">
        <v>72.97891</v>
      </c>
      <c r="L54" s="40" t="s">
        <v>102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600.0</v>
      </c>
      <c r="AE54" s="39">
        <v>1.0</v>
      </c>
    </row>
    <row r="55">
      <c r="A55" s="20" t="s">
        <v>1309</v>
      </c>
      <c r="D55" s="39" t="s">
        <v>673</v>
      </c>
      <c r="E55" s="39" t="s">
        <v>10</v>
      </c>
      <c r="F55" s="39" t="s">
        <v>64</v>
      </c>
      <c r="G55" s="51" t="s">
        <v>1310</v>
      </c>
      <c r="H55" s="51" t="s">
        <v>1310</v>
      </c>
      <c r="I55" s="40">
        <v>27.089</v>
      </c>
      <c r="J55" s="49">
        <v>19.06313</v>
      </c>
      <c r="K55" s="49">
        <v>72.98287</v>
      </c>
      <c r="L55" s="40" t="s">
        <v>102</v>
      </c>
      <c r="N55" s="39" t="s">
        <v>67</v>
      </c>
      <c r="O55" s="39" t="s">
        <v>81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350.0</v>
      </c>
      <c r="AE55" s="39">
        <v>1.0</v>
      </c>
    </row>
    <row r="56">
      <c r="A56" s="20" t="s">
        <v>1311</v>
      </c>
      <c r="D56" s="39" t="s">
        <v>673</v>
      </c>
      <c r="E56" s="39" t="s">
        <v>10</v>
      </c>
      <c r="F56" s="39" t="s">
        <v>64</v>
      </c>
      <c r="G56" s="51" t="s">
        <v>1312</v>
      </c>
      <c r="H56" s="51" t="s">
        <v>1312</v>
      </c>
      <c r="I56" s="40">
        <v>27.483</v>
      </c>
      <c r="J56" s="49">
        <v>19.06232</v>
      </c>
      <c r="K56" s="49">
        <v>72.98663</v>
      </c>
      <c r="L56" s="40" t="s">
        <v>102</v>
      </c>
      <c r="N56" s="39" t="s">
        <v>67</v>
      </c>
      <c r="O56" s="39" t="s">
        <v>81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300.0</v>
      </c>
      <c r="AE56" s="39">
        <v>1.0</v>
      </c>
    </row>
    <row r="57">
      <c r="A57" s="20" t="s">
        <v>1313</v>
      </c>
      <c r="D57" s="39" t="s">
        <v>673</v>
      </c>
      <c r="E57" s="39" t="s">
        <v>10</v>
      </c>
      <c r="F57" s="39" t="s">
        <v>64</v>
      </c>
      <c r="G57" s="51" t="s">
        <v>1314</v>
      </c>
      <c r="H57" s="51" t="s">
        <v>1314</v>
      </c>
      <c r="I57" s="40">
        <v>27.889</v>
      </c>
      <c r="J57" s="49">
        <v>19.06065</v>
      </c>
      <c r="K57" s="49">
        <v>72.99046</v>
      </c>
      <c r="L57" s="40" t="s">
        <v>102</v>
      </c>
      <c r="N57" s="39" t="s">
        <v>67</v>
      </c>
      <c r="O57" s="39" t="s">
        <v>67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600.0</v>
      </c>
      <c r="AE57" s="39">
        <v>1.0</v>
      </c>
    </row>
    <row r="58">
      <c r="A58" s="29" t="s">
        <v>1315</v>
      </c>
      <c r="B58" s="39" t="s">
        <v>1316</v>
      </c>
      <c r="C58" s="39" t="s">
        <v>1317</v>
      </c>
      <c r="D58" s="39" t="s">
        <v>673</v>
      </c>
      <c r="E58" s="39" t="s">
        <v>10</v>
      </c>
      <c r="F58" s="39" t="s">
        <v>64</v>
      </c>
      <c r="G58" s="52" t="s">
        <v>1318</v>
      </c>
      <c r="H58" s="52" t="s">
        <v>1318</v>
      </c>
      <c r="I58" s="40">
        <v>28.326</v>
      </c>
      <c r="J58" s="49">
        <v>19.06064</v>
      </c>
      <c r="K58" s="49">
        <v>72.99382</v>
      </c>
      <c r="L58" s="2" t="s">
        <v>66</v>
      </c>
      <c r="N58" s="39" t="s">
        <v>67</v>
      </c>
      <c r="O58" s="39" t="s">
        <v>67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1.0</v>
      </c>
      <c r="W58" s="39">
        <v>0.0</v>
      </c>
      <c r="X58" s="39">
        <v>0.0</v>
      </c>
      <c r="Y58" s="39">
        <v>0.0</v>
      </c>
      <c r="AC58" s="39">
        <v>250.0</v>
      </c>
      <c r="AE58" s="39">
        <v>1.0</v>
      </c>
    </row>
    <row r="59">
      <c r="A59" s="29" t="s">
        <v>1319</v>
      </c>
      <c r="B59" s="39" t="s">
        <v>1316</v>
      </c>
      <c r="C59" s="39" t="s">
        <v>1317</v>
      </c>
      <c r="D59" s="39" t="s">
        <v>673</v>
      </c>
      <c r="E59" s="39" t="s">
        <v>10</v>
      </c>
      <c r="F59" s="39" t="s">
        <v>64</v>
      </c>
      <c r="G59" s="52" t="s">
        <v>1320</v>
      </c>
      <c r="H59" s="52" t="s">
        <v>1320</v>
      </c>
      <c r="I59" s="40">
        <v>29.044</v>
      </c>
      <c r="J59" s="50">
        <v>19.06359</v>
      </c>
      <c r="K59" s="50">
        <v>73.0002</v>
      </c>
      <c r="L59" s="2" t="s">
        <v>66</v>
      </c>
      <c r="N59" s="39" t="s">
        <v>67</v>
      </c>
      <c r="O59" s="39" t="s">
        <v>81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1.0</v>
      </c>
      <c r="X59" s="39">
        <v>0.0</v>
      </c>
      <c r="Y59" s="39">
        <v>0.0</v>
      </c>
      <c r="AC59" s="39">
        <v>200.0</v>
      </c>
      <c r="AE59" s="39">
        <v>1.0</v>
      </c>
    </row>
    <row r="60">
      <c r="A60" s="20" t="s">
        <v>1321</v>
      </c>
      <c r="D60" s="39" t="s">
        <v>673</v>
      </c>
      <c r="E60" s="39" t="s">
        <v>10</v>
      </c>
      <c r="F60" s="39" t="s">
        <v>64</v>
      </c>
      <c r="G60" s="51" t="s">
        <v>1322</v>
      </c>
      <c r="H60" s="51" t="s">
        <v>1322</v>
      </c>
      <c r="I60" s="40">
        <v>29.402</v>
      </c>
      <c r="J60" s="49">
        <v>19.06444</v>
      </c>
      <c r="K60" s="49">
        <v>73.00342</v>
      </c>
      <c r="L60" s="40" t="s">
        <v>102</v>
      </c>
      <c r="N60" s="39" t="s">
        <v>67</v>
      </c>
      <c r="O60" s="39" t="s">
        <v>68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400.0</v>
      </c>
      <c r="AE60" s="39">
        <v>1.0</v>
      </c>
    </row>
    <row r="61">
      <c r="A61" s="20" t="s">
        <v>1323</v>
      </c>
      <c r="D61" s="39" t="s">
        <v>673</v>
      </c>
      <c r="E61" s="39" t="s">
        <v>10</v>
      </c>
      <c r="F61" s="39" t="s">
        <v>64</v>
      </c>
      <c r="G61" s="51" t="s">
        <v>1324</v>
      </c>
      <c r="H61" s="51" t="s">
        <v>1324</v>
      </c>
      <c r="I61" s="40">
        <v>29.8</v>
      </c>
      <c r="J61" s="49">
        <v>19.06532</v>
      </c>
      <c r="K61" s="49">
        <v>73.00708</v>
      </c>
      <c r="L61" s="40" t="s">
        <v>102</v>
      </c>
      <c r="N61" s="39" t="s">
        <v>67</v>
      </c>
      <c r="O61" s="39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400.0</v>
      </c>
      <c r="AE61" s="39">
        <v>1.0</v>
      </c>
    </row>
    <row r="62">
      <c r="A62" s="20" t="s">
        <v>1325</v>
      </c>
      <c r="D62" s="39" t="s">
        <v>673</v>
      </c>
      <c r="E62" s="39" t="s">
        <v>10</v>
      </c>
      <c r="F62" s="39" t="s">
        <v>64</v>
      </c>
      <c r="G62" s="51" t="s">
        <v>1326</v>
      </c>
      <c r="H62" s="39" t="s">
        <v>1327</v>
      </c>
      <c r="I62" s="40">
        <v>30.23</v>
      </c>
      <c r="J62" s="49">
        <v>19.06629</v>
      </c>
      <c r="K62" s="49">
        <v>73.01113</v>
      </c>
      <c r="L62" s="40" t="s">
        <v>102</v>
      </c>
      <c r="N62" s="39" t="s">
        <v>67</v>
      </c>
      <c r="O62" s="39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700.0</v>
      </c>
      <c r="AE62" s="39">
        <v>1.0</v>
      </c>
    </row>
    <row r="63">
      <c r="A63" s="20" t="s">
        <v>1328</v>
      </c>
      <c r="D63" s="39" t="s">
        <v>673</v>
      </c>
      <c r="E63" s="39" t="s">
        <v>10</v>
      </c>
      <c r="F63" s="39" t="s">
        <v>64</v>
      </c>
      <c r="G63" s="51" t="s">
        <v>1329</v>
      </c>
      <c r="H63" s="51" t="s">
        <v>1329</v>
      </c>
      <c r="I63" s="40">
        <v>30.719</v>
      </c>
      <c r="J63" s="49">
        <v>19.06601</v>
      </c>
      <c r="K63" s="49">
        <v>73.01562</v>
      </c>
      <c r="L63" s="40" t="s">
        <v>102</v>
      </c>
      <c r="N63" s="39" t="s">
        <v>67</v>
      </c>
      <c r="O63" s="39" t="s">
        <v>81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AC63" s="39">
        <v>250.0</v>
      </c>
      <c r="AE63" s="39">
        <v>1.0</v>
      </c>
    </row>
    <row r="64">
      <c r="A64" s="20" t="s">
        <v>1330</v>
      </c>
      <c r="D64" s="39" t="s">
        <v>673</v>
      </c>
      <c r="E64" s="39" t="s">
        <v>10</v>
      </c>
      <c r="F64" s="39" t="s">
        <v>64</v>
      </c>
      <c r="G64" s="51" t="s">
        <v>1331</v>
      </c>
      <c r="H64" s="51" t="s">
        <v>1331</v>
      </c>
      <c r="I64" s="40">
        <v>31.238</v>
      </c>
      <c r="J64" s="49">
        <v>19.06236</v>
      </c>
      <c r="K64" s="49">
        <v>73.01825</v>
      </c>
      <c r="L64" s="40" t="s">
        <v>102</v>
      </c>
      <c r="N64" s="39" t="s">
        <v>67</v>
      </c>
      <c r="O64" s="39" t="s">
        <v>81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AC64" s="39">
        <v>250.0</v>
      </c>
      <c r="AE64" s="39">
        <v>1.0</v>
      </c>
    </row>
    <row r="65">
      <c r="A65" s="20" t="s">
        <v>1332</v>
      </c>
      <c r="D65" s="39" t="s">
        <v>673</v>
      </c>
      <c r="E65" s="39" t="s">
        <v>10</v>
      </c>
      <c r="F65" s="39" t="s">
        <v>64</v>
      </c>
      <c r="G65" s="51" t="s">
        <v>1333</v>
      </c>
      <c r="H65" s="51" t="s">
        <v>1333</v>
      </c>
      <c r="I65" s="40">
        <v>31.663</v>
      </c>
      <c r="J65" s="49">
        <v>19.05848</v>
      </c>
      <c r="K65" s="49">
        <v>73.01843</v>
      </c>
      <c r="L65" s="40" t="s">
        <v>102</v>
      </c>
      <c r="N65" s="39" t="s">
        <v>67</v>
      </c>
      <c r="O65" s="39" t="s">
        <v>68</v>
      </c>
      <c r="Q65" s="39">
        <v>0.0</v>
      </c>
      <c r="R65" s="39">
        <v>0.0</v>
      </c>
      <c r="S65" s="39">
        <v>1.0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AC65" s="39">
        <v>500.0</v>
      </c>
      <c r="AE65" s="39">
        <v>1.0</v>
      </c>
    </row>
    <row r="66">
      <c r="A66" s="20" t="s">
        <v>1334</v>
      </c>
      <c r="B66" s="39" t="s">
        <v>1335</v>
      </c>
      <c r="C66" s="39" t="s">
        <v>1336</v>
      </c>
      <c r="D66" s="39" t="s">
        <v>673</v>
      </c>
      <c r="E66" s="39" t="s">
        <v>10</v>
      </c>
      <c r="F66" s="39" t="s">
        <v>64</v>
      </c>
      <c r="G66" s="51" t="s">
        <v>1337</v>
      </c>
      <c r="H66" s="39" t="s">
        <v>1338</v>
      </c>
      <c r="I66" s="40">
        <v>32.096</v>
      </c>
      <c r="J66" s="55">
        <v>19.05452</v>
      </c>
      <c r="K66" s="55">
        <v>73.01838</v>
      </c>
      <c r="L66" s="2" t="s">
        <v>66</v>
      </c>
      <c r="N66" s="39" t="s">
        <v>67</v>
      </c>
      <c r="O66" s="39" t="s">
        <v>68</v>
      </c>
      <c r="Q66" s="39">
        <v>0.0</v>
      </c>
      <c r="R66" s="39">
        <v>0.0</v>
      </c>
      <c r="S66" s="39">
        <v>1.0</v>
      </c>
      <c r="T66" s="39">
        <v>0.0</v>
      </c>
      <c r="U66" s="39">
        <v>1.0</v>
      </c>
      <c r="V66" s="39">
        <v>0.0</v>
      </c>
      <c r="W66" s="39">
        <v>0.0</v>
      </c>
      <c r="X66" s="39">
        <v>0.0</v>
      </c>
      <c r="Y66" s="39">
        <v>0.0</v>
      </c>
      <c r="AC66" s="39">
        <v>350.0</v>
      </c>
      <c r="AE66" s="39">
        <v>1.0</v>
      </c>
    </row>
    <row r="67">
      <c r="A67" s="20" t="s">
        <v>1339</v>
      </c>
      <c r="B67" s="39" t="s">
        <v>1335</v>
      </c>
      <c r="C67" s="39" t="s">
        <v>1336</v>
      </c>
      <c r="D67" s="39" t="s">
        <v>673</v>
      </c>
      <c r="E67" s="39" t="s">
        <v>10</v>
      </c>
      <c r="F67" s="39" t="s">
        <v>64</v>
      </c>
      <c r="G67" s="51" t="s">
        <v>1340</v>
      </c>
      <c r="H67" s="51" t="s">
        <v>1340</v>
      </c>
      <c r="I67" s="40">
        <v>32.577</v>
      </c>
      <c r="J67" s="55">
        <v>19.05026</v>
      </c>
      <c r="K67" s="55">
        <v>73.01886</v>
      </c>
      <c r="L67" s="2" t="s">
        <v>66</v>
      </c>
      <c r="N67" s="39" t="s">
        <v>67</v>
      </c>
      <c r="O67" s="39" t="s">
        <v>68</v>
      </c>
      <c r="Q67" s="39">
        <v>0.0</v>
      </c>
      <c r="R67" s="39">
        <v>0.0</v>
      </c>
      <c r="S67" s="39">
        <v>1.0</v>
      </c>
      <c r="T67" s="39">
        <v>0.0</v>
      </c>
      <c r="U67" s="39">
        <v>0.0</v>
      </c>
      <c r="V67" s="39">
        <v>0.0</v>
      </c>
      <c r="W67" s="39">
        <v>1.0</v>
      </c>
      <c r="X67" s="39">
        <v>0.0</v>
      </c>
      <c r="Y67" s="39">
        <v>0.0</v>
      </c>
      <c r="AC67" s="39">
        <v>300.0</v>
      </c>
      <c r="AE67" s="39">
        <v>1.0</v>
      </c>
    </row>
    <row r="68">
      <c r="A68" s="20" t="s">
        <v>1341</v>
      </c>
      <c r="B68" s="39" t="s">
        <v>1335</v>
      </c>
      <c r="C68" s="39" t="s">
        <v>1336</v>
      </c>
      <c r="D68" s="39" t="s">
        <v>673</v>
      </c>
      <c r="E68" s="39" t="s">
        <v>10</v>
      </c>
      <c r="F68" s="39" t="s">
        <v>64</v>
      </c>
      <c r="G68" s="51" t="s">
        <v>1342</v>
      </c>
      <c r="H68" s="51" t="s">
        <v>1342</v>
      </c>
      <c r="I68" s="40">
        <v>33.079</v>
      </c>
      <c r="J68" s="55">
        <v>19.04576</v>
      </c>
      <c r="K68" s="55">
        <v>73.01891</v>
      </c>
      <c r="L68" s="2" t="s">
        <v>66</v>
      </c>
      <c r="N68" s="39" t="s">
        <v>67</v>
      </c>
      <c r="O68" s="39" t="s">
        <v>68</v>
      </c>
      <c r="Q68" s="39">
        <v>0.0</v>
      </c>
      <c r="R68" s="39">
        <v>0.0</v>
      </c>
      <c r="S68" s="39">
        <v>1.0</v>
      </c>
      <c r="T68" s="39">
        <v>0.0</v>
      </c>
      <c r="U68" s="39">
        <v>1.0</v>
      </c>
      <c r="V68" s="39">
        <v>0.0</v>
      </c>
      <c r="W68" s="39">
        <v>0.0</v>
      </c>
      <c r="X68" s="39">
        <v>0.0</v>
      </c>
      <c r="Y68" s="39">
        <v>0.0</v>
      </c>
      <c r="AC68" s="39">
        <v>600.0</v>
      </c>
      <c r="AE68" s="39">
        <v>1.0</v>
      </c>
    </row>
    <row r="69">
      <c r="A69" s="20" t="s">
        <v>1343</v>
      </c>
      <c r="B69" s="39" t="s">
        <v>1344</v>
      </c>
      <c r="C69" s="39" t="s">
        <v>1345</v>
      </c>
      <c r="D69" s="39" t="s">
        <v>673</v>
      </c>
      <c r="E69" s="39" t="s">
        <v>10</v>
      </c>
      <c r="F69" s="39" t="s">
        <v>64</v>
      </c>
      <c r="G69" s="51" t="s">
        <v>1346</v>
      </c>
      <c r="H69" s="51" t="s">
        <v>1346</v>
      </c>
      <c r="I69" s="40">
        <v>33.767</v>
      </c>
      <c r="J69" s="55">
        <v>19.03944</v>
      </c>
      <c r="K69" s="55">
        <v>73.01867</v>
      </c>
      <c r="L69" s="2" t="s">
        <v>66</v>
      </c>
      <c r="N69" s="39" t="s">
        <v>67</v>
      </c>
      <c r="O69" s="39" t="s">
        <v>68</v>
      </c>
      <c r="Q69" s="39">
        <v>0.0</v>
      </c>
      <c r="R69" s="39">
        <v>0.0</v>
      </c>
      <c r="S69" s="39">
        <v>1.0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AC69" s="39">
        <v>600.0</v>
      </c>
      <c r="AE69" s="39">
        <v>1.0</v>
      </c>
    </row>
    <row r="70">
      <c r="A70" s="20" t="s">
        <v>1347</v>
      </c>
      <c r="B70" s="39" t="s">
        <v>1344</v>
      </c>
      <c r="C70" s="39" t="s">
        <v>1345</v>
      </c>
      <c r="D70" s="39" t="s">
        <v>673</v>
      </c>
      <c r="E70" s="39" t="s">
        <v>10</v>
      </c>
      <c r="F70" s="39" t="s">
        <v>64</v>
      </c>
      <c r="G70" s="51" t="s">
        <v>1348</v>
      </c>
      <c r="H70" s="39" t="s">
        <v>1349</v>
      </c>
      <c r="I70" s="40">
        <v>34.584</v>
      </c>
      <c r="J70" s="55">
        <v>19.03224</v>
      </c>
      <c r="K70" s="55">
        <v>73.01819</v>
      </c>
      <c r="L70" s="2" t="s">
        <v>66</v>
      </c>
      <c r="N70" s="39" t="s">
        <v>67</v>
      </c>
      <c r="O70" s="39" t="s">
        <v>68</v>
      </c>
      <c r="Q70" s="39">
        <v>0.0</v>
      </c>
      <c r="R70" s="39">
        <v>0.0</v>
      </c>
      <c r="S70" s="39">
        <v>1.0</v>
      </c>
      <c r="T70" s="39">
        <v>0.0</v>
      </c>
      <c r="U70" s="39">
        <v>0.0</v>
      </c>
      <c r="V70" s="39">
        <v>1.0</v>
      </c>
      <c r="W70" s="39">
        <v>0.0</v>
      </c>
      <c r="X70" s="39">
        <v>0.0</v>
      </c>
      <c r="Y70" s="39">
        <v>1.0</v>
      </c>
      <c r="Z70" s="30" t="s">
        <v>1350</v>
      </c>
      <c r="AA70" s="30" t="s">
        <v>97</v>
      </c>
      <c r="AC70" s="39">
        <v>400.0</v>
      </c>
      <c r="AE70" s="39">
        <v>1.0</v>
      </c>
    </row>
    <row r="71">
      <c r="A71" s="20" t="s">
        <v>1351</v>
      </c>
      <c r="B71" s="39" t="s">
        <v>1344</v>
      </c>
      <c r="C71" s="39" t="s">
        <v>1345</v>
      </c>
      <c r="D71" s="39" t="s">
        <v>673</v>
      </c>
      <c r="E71" s="39" t="s">
        <v>10</v>
      </c>
      <c r="F71" s="39" t="s">
        <v>64</v>
      </c>
      <c r="G71" s="51" t="s">
        <v>1352</v>
      </c>
      <c r="H71" s="51" t="s">
        <v>1352</v>
      </c>
      <c r="I71" s="40">
        <v>35.136</v>
      </c>
      <c r="J71" s="55">
        <v>19.02751</v>
      </c>
      <c r="K71" s="55">
        <v>73.01684</v>
      </c>
      <c r="L71" s="2" t="s">
        <v>66</v>
      </c>
      <c r="N71" s="39" t="s">
        <v>67</v>
      </c>
      <c r="O71" s="39" t="s">
        <v>67</v>
      </c>
      <c r="Q71" s="39">
        <v>0.0</v>
      </c>
      <c r="R71" s="39">
        <v>0.0</v>
      </c>
      <c r="S71" s="39">
        <v>1.0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AC71" s="39">
        <v>400.0</v>
      </c>
      <c r="AE71" s="39">
        <v>1.0</v>
      </c>
    </row>
    <row r="72">
      <c r="A72" s="20" t="s">
        <v>1353</v>
      </c>
      <c r="D72" s="39" t="s">
        <v>673</v>
      </c>
      <c r="E72" s="39" t="s">
        <v>10</v>
      </c>
      <c r="F72" s="39" t="s">
        <v>64</v>
      </c>
      <c r="G72" s="51" t="s">
        <v>1354</v>
      </c>
      <c r="H72" s="51" t="s">
        <v>1354</v>
      </c>
      <c r="I72" s="40">
        <v>35.537</v>
      </c>
      <c r="J72" s="55">
        <v>19.024</v>
      </c>
      <c r="K72" s="55">
        <v>73.01729</v>
      </c>
      <c r="L72" s="40" t="s">
        <v>102</v>
      </c>
      <c r="N72" s="39" t="s">
        <v>67</v>
      </c>
      <c r="O72" s="39" t="s">
        <v>67</v>
      </c>
      <c r="Q72" s="39">
        <v>0.0</v>
      </c>
      <c r="R72" s="39">
        <v>0.0</v>
      </c>
      <c r="S72" s="39">
        <v>1.0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AC72" s="39">
        <v>250.0</v>
      </c>
      <c r="AE72" s="39">
        <v>1.0</v>
      </c>
    </row>
    <row r="73">
      <c r="A73" s="20" t="s">
        <v>1355</v>
      </c>
      <c r="D73" s="39" t="s">
        <v>673</v>
      </c>
      <c r="E73" s="39" t="s">
        <v>10</v>
      </c>
      <c r="F73" s="39" t="s">
        <v>64</v>
      </c>
      <c r="G73" s="51" t="s">
        <v>1356</v>
      </c>
      <c r="H73" s="39" t="s">
        <v>1357</v>
      </c>
      <c r="I73" s="40">
        <v>36.005</v>
      </c>
      <c r="J73" s="55">
        <v>19.02102</v>
      </c>
      <c r="K73" s="55">
        <v>73.02043</v>
      </c>
      <c r="L73" s="40" t="s">
        <v>102</v>
      </c>
      <c r="N73" s="39" t="s">
        <v>67</v>
      </c>
      <c r="O73" s="39" t="s">
        <v>68</v>
      </c>
      <c r="Q73" s="39">
        <v>0.0</v>
      </c>
      <c r="R73" s="39">
        <v>0.0</v>
      </c>
      <c r="S73" s="39">
        <v>1.0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AC73" s="39">
        <v>400.0</v>
      </c>
      <c r="AE73" s="39">
        <v>1.0</v>
      </c>
    </row>
    <row r="74">
      <c r="A74" s="29" t="s">
        <v>1358</v>
      </c>
      <c r="D74" s="39" t="s">
        <v>673</v>
      </c>
      <c r="E74" s="39" t="s">
        <v>10</v>
      </c>
      <c r="F74" s="39" t="s">
        <v>64</v>
      </c>
      <c r="G74" s="51" t="s">
        <v>1359</v>
      </c>
      <c r="H74" s="51" t="s">
        <v>1359</v>
      </c>
      <c r="I74" s="40">
        <v>36.782</v>
      </c>
      <c r="J74" s="55">
        <v>19.01866</v>
      </c>
      <c r="K74" s="55">
        <v>73.02306</v>
      </c>
      <c r="L74" s="40" t="s">
        <v>102</v>
      </c>
      <c r="N74" s="39" t="s">
        <v>67</v>
      </c>
      <c r="O74" s="39" t="s">
        <v>67</v>
      </c>
      <c r="Q74" s="39">
        <v>0.0</v>
      </c>
      <c r="R74" s="39">
        <v>0.0</v>
      </c>
      <c r="S74" s="39">
        <v>1.0</v>
      </c>
      <c r="T74" s="39">
        <v>0.0</v>
      </c>
      <c r="U74" s="39">
        <v>0.0</v>
      </c>
      <c r="V74" s="39">
        <v>0.0</v>
      </c>
      <c r="W74" s="39">
        <v>0.0</v>
      </c>
      <c r="X74" s="39">
        <v>0.0</v>
      </c>
      <c r="Y74" s="39">
        <v>0.0</v>
      </c>
      <c r="AC74" s="39">
        <v>700.0</v>
      </c>
      <c r="AE74" s="39">
        <v>1.0</v>
      </c>
    </row>
    <row r="75">
      <c r="A75" s="20" t="s">
        <v>1360</v>
      </c>
      <c r="D75" s="39" t="s">
        <v>673</v>
      </c>
      <c r="E75" s="39" t="s">
        <v>10</v>
      </c>
      <c r="F75" s="39" t="s">
        <v>64</v>
      </c>
      <c r="G75" s="51" t="s">
        <v>1361</v>
      </c>
      <c r="H75" s="51" t="s">
        <v>1361</v>
      </c>
      <c r="I75" s="40">
        <v>37.156</v>
      </c>
      <c r="J75" s="55">
        <v>19.01655</v>
      </c>
      <c r="K75" s="55">
        <v>73.02595</v>
      </c>
      <c r="L75" s="40" t="s">
        <v>102</v>
      </c>
      <c r="N75" s="39" t="s">
        <v>67</v>
      </c>
      <c r="O75" s="39" t="s">
        <v>68</v>
      </c>
      <c r="Q75" s="39">
        <v>0.0</v>
      </c>
      <c r="R75" s="39">
        <v>0.0</v>
      </c>
      <c r="S75" s="39">
        <v>1.0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AC75" s="39">
        <v>250.0</v>
      </c>
      <c r="AE75" s="39">
        <v>1.0</v>
      </c>
    </row>
    <row r="76">
      <c r="A76" s="20" t="s">
        <v>1362</v>
      </c>
      <c r="D76" s="39" t="s">
        <v>673</v>
      </c>
      <c r="E76" s="39" t="s">
        <v>10</v>
      </c>
      <c r="F76" s="39" t="s">
        <v>64</v>
      </c>
      <c r="G76" s="51" t="s">
        <v>1363</v>
      </c>
      <c r="H76" s="51" t="s">
        <v>1363</v>
      </c>
      <c r="I76" s="40">
        <v>37.568</v>
      </c>
      <c r="J76" s="55">
        <v>19.01638</v>
      </c>
      <c r="K76" s="55">
        <v>73.02939</v>
      </c>
      <c r="L76" s="40" t="s">
        <v>102</v>
      </c>
      <c r="N76" s="39" t="s">
        <v>67</v>
      </c>
      <c r="O76" s="39" t="s">
        <v>68</v>
      </c>
      <c r="Q76" s="39">
        <v>0.0</v>
      </c>
      <c r="R76" s="39">
        <v>0.0</v>
      </c>
      <c r="S76" s="39">
        <v>1.0</v>
      </c>
      <c r="T76" s="39">
        <v>0.0</v>
      </c>
      <c r="U76" s="39">
        <v>0.0</v>
      </c>
      <c r="V76" s="39">
        <v>0.0</v>
      </c>
      <c r="W76" s="39">
        <v>0.0</v>
      </c>
      <c r="X76" s="39">
        <v>0.0</v>
      </c>
      <c r="Y76" s="39">
        <v>0.0</v>
      </c>
      <c r="AC76" s="39">
        <v>300.0</v>
      </c>
      <c r="AE76" s="39">
        <v>1.0</v>
      </c>
    </row>
    <row r="77">
      <c r="A77" s="20" t="s">
        <v>1364</v>
      </c>
      <c r="B77" s="39" t="s">
        <v>1365</v>
      </c>
      <c r="C77" s="39" t="s">
        <v>1366</v>
      </c>
      <c r="D77" s="39" t="s">
        <v>673</v>
      </c>
      <c r="E77" s="39" t="s">
        <v>10</v>
      </c>
      <c r="F77" s="39" t="s">
        <v>64</v>
      </c>
      <c r="G77" s="51" t="s">
        <v>1367</v>
      </c>
      <c r="H77" s="51" t="s">
        <v>1367</v>
      </c>
      <c r="I77" s="40">
        <v>37.98</v>
      </c>
      <c r="J77" s="55">
        <v>19.01686</v>
      </c>
      <c r="K77" s="55">
        <v>73.03325</v>
      </c>
      <c r="L77" s="2" t="s">
        <v>66</v>
      </c>
      <c r="N77" s="39" t="s">
        <v>67</v>
      </c>
      <c r="O77" s="39" t="s">
        <v>68</v>
      </c>
      <c r="Q77" s="39">
        <v>0.0</v>
      </c>
      <c r="R77" s="39">
        <v>0.0</v>
      </c>
      <c r="S77" s="39">
        <v>1.0</v>
      </c>
      <c r="T77" s="39">
        <v>0.0</v>
      </c>
      <c r="U77" s="39">
        <v>0.0</v>
      </c>
      <c r="V77" s="39">
        <v>1.0</v>
      </c>
      <c r="W77" s="39">
        <v>0.0</v>
      </c>
      <c r="X77" s="39">
        <v>0.0</v>
      </c>
      <c r="Y77" s="39">
        <v>1.0</v>
      </c>
      <c r="Z77" s="30" t="s">
        <v>1100</v>
      </c>
      <c r="AA77" s="30" t="s">
        <v>97</v>
      </c>
      <c r="AC77" s="39">
        <v>350.0</v>
      </c>
      <c r="AE77" s="39">
        <v>1.0</v>
      </c>
    </row>
    <row r="78">
      <c r="A78" s="29" t="s">
        <v>1368</v>
      </c>
      <c r="D78" s="39" t="s">
        <v>673</v>
      </c>
      <c r="E78" s="39" t="s">
        <v>10</v>
      </c>
      <c r="F78" s="39" t="s">
        <v>64</v>
      </c>
      <c r="G78" s="52" t="s">
        <v>1369</v>
      </c>
      <c r="H78" s="52" t="s">
        <v>1369</v>
      </c>
      <c r="J78" s="55">
        <v>19.01712</v>
      </c>
      <c r="K78" s="55">
        <v>73.03491</v>
      </c>
      <c r="L78" s="39" t="s">
        <v>111</v>
      </c>
      <c r="N78" s="39" t="s">
        <v>67</v>
      </c>
      <c r="O78" s="39" t="s">
        <v>67</v>
      </c>
      <c r="Q78" s="39">
        <v>0.0</v>
      </c>
      <c r="R78" s="39">
        <v>0.0</v>
      </c>
      <c r="S78" s="39">
        <v>1.0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AC78" s="39">
        <v>500.0</v>
      </c>
      <c r="AE78" s="39">
        <v>1.0</v>
      </c>
    </row>
    <row r="79">
      <c r="A79" s="20" t="s">
        <v>1370</v>
      </c>
      <c r="D79" s="39" t="s">
        <v>673</v>
      </c>
      <c r="E79" s="39" t="s">
        <v>10</v>
      </c>
      <c r="F79" s="39" t="s">
        <v>64</v>
      </c>
      <c r="G79" s="51" t="s">
        <v>1371</v>
      </c>
      <c r="H79" s="51" t="s">
        <v>1371</v>
      </c>
      <c r="I79" s="40">
        <v>38.386</v>
      </c>
      <c r="J79" s="55">
        <v>19.01795</v>
      </c>
      <c r="K79" s="55">
        <v>73.03689</v>
      </c>
      <c r="L79" s="40" t="s">
        <v>102</v>
      </c>
      <c r="N79" s="39" t="s">
        <v>67</v>
      </c>
      <c r="O79" s="39" t="s">
        <v>67</v>
      </c>
      <c r="Q79" s="39">
        <v>0.0</v>
      </c>
      <c r="R79" s="39">
        <v>0.0</v>
      </c>
      <c r="S79" s="39">
        <v>1.0</v>
      </c>
      <c r="T79" s="39">
        <v>0.0</v>
      </c>
      <c r="U79" s="39">
        <v>1.0</v>
      </c>
      <c r="V79" s="39">
        <v>0.0</v>
      </c>
      <c r="W79" s="39">
        <v>0.0</v>
      </c>
      <c r="X79" s="39">
        <v>0.0</v>
      </c>
      <c r="Y79" s="39">
        <v>0.0</v>
      </c>
      <c r="AC79" s="39">
        <v>200.0</v>
      </c>
      <c r="AD79" s="39" t="s">
        <v>111</v>
      </c>
      <c r="AE79" s="39">
        <v>1.0</v>
      </c>
    </row>
    <row r="80">
      <c r="A80" s="20" t="s">
        <v>1372</v>
      </c>
      <c r="B80" s="39" t="s">
        <v>1365</v>
      </c>
      <c r="C80" s="39" t="s">
        <v>1366</v>
      </c>
      <c r="D80" s="39" t="s">
        <v>673</v>
      </c>
      <c r="E80" s="39" t="s">
        <v>10</v>
      </c>
      <c r="F80" s="39" t="s">
        <v>64</v>
      </c>
      <c r="G80" s="51" t="s">
        <v>1373</v>
      </c>
      <c r="H80" s="39" t="s">
        <v>1374</v>
      </c>
      <c r="I80" s="40">
        <v>38.732</v>
      </c>
      <c r="J80" s="55">
        <v>19.01994</v>
      </c>
      <c r="K80" s="55">
        <v>73.04016</v>
      </c>
      <c r="L80" s="2" t="s">
        <v>66</v>
      </c>
      <c r="N80" s="39" t="s">
        <v>67</v>
      </c>
      <c r="O80" s="39" t="s">
        <v>68</v>
      </c>
      <c r="Q80" s="39">
        <v>0.0</v>
      </c>
      <c r="R80" s="39">
        <v>0.0</v>
      </c>
      <c r="S80" s="39">
        <v>1.0</v>
      </c>
      <c r="T80" s="39">
        <v>0.0</v>
      </c>
      <c r="U80" s="39">
        <v>0.0</v>
      </c>
      <c r="V80" s="39">
        <v>0.0</v>
      </c>
      <c r="W80" s="39">
        <v>1.0</v>
      </c>
      <c r="X80" s="39">
        <v>0.0</v>
      </c>
      <c r="Y80" s="39">
        <v>0.0</v>
      </c>
      <c r="AC80" s="39">
        <v>400.0</v>
      </c>
      <c r="AE80" s="39">
        <v>1.0</v>
      </c>
    </row>
    <row r="81">
      <c r="A81" s="20" t="s">
        <v>1375</v>
      </c>
      <c r="B81" s="39" t="s">
        <v>1365</v>
      </c>
      <c r="C81" s="39" t="s">
        <v>1366</v>
      </c>
      <c r="D81" s="39" t="s">
        <v>673</v>
      </c>
      <c r="E81" s="39" t="s">
        <v>10</v>
      </c>
      <c r="F81" s="39" t="s">
        <v>64</v>
      </c>
      <c r="G81" s="51" t="s">
        <v>1376</v>
      </c>
      <c r="H81" s="51" t="s">
        <v>1376</v>
      </c>
      <c r="I81" s="40">
        <v>39.205</v>
      </c>
      <c r="J81" s="55">
        <v>19.02179</v>
      </c>
      <c r="K81" s="55">
        <v>73.04324</v>
      </c>
      <c r="L81" s="2" t="s">
        <v>66</v>
      </c>
      <c r="N81" s="39" t="s">
        <v>67</v>
      </c>
      <c r="O81" s="39" t="s">
        <v>81</v>
      </c>
      <c r="Q81" s="39">
        <v>0.0</v>
      </c>
      <c r="R81" s="39">
        <v>0.0</v>
      </c>
      <c r="S81" s="39">
        <v>1.0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AC81" s="39">
        <v>800.0</v>
      </c>
      <c r="AE81" s="39">
        <v>1.0</v>
      </c>
    </row>
    <row r="82">
      <c r="A82" s="20" t="s">
        <v>1377</v>
      </c>
      <c r="D82" s="39" t="s">
        <v>673</v>
      </c>
      <c r="E82" s="39" t="s">
        <v>10</v>
      </c>
      <c r="F82" s="39" t="s">
        <v>64</v>
      </c>
      <c r="G82" s="51" t="s">
        <v>1378</v>
      </c>
      <c r="H82" s="51" t="s">
        <v>1378</v>
      </c>
      <c r="I82" s="40">
        <v>39.706</v>
      </c>
      <c r="J82" s="55">
        <v>19.02197</v>
      </c>
      <c r="K82" s="55">
        <v>73.04712</v>
      </c>
      <c r="L82" s="40" t="s">
        <v>102</v>
      </c>
      <c r="N82" s="39" t="s">
        <v>67</v>
      </c>
      <c r="O82" s="39" t="s">
        <v>81</v>
      </c>
      <c r="Q82" s="39">
        <v>0.0</v>
      </c>
      <c r="R82" s="39">
        <v>0.0</v>
      </c>
      <c r="S82" s="39">
        <v>1.0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AC82" s="39">
        <v>400.0</v>
      </c>
      <c r="AE82" s="39">
        <v>1.0</v>
      </c>
    </row>
    <row r="83">
      <c r="A83" s="20" t="s">
        <v>1379</v>
      </c>
      <c r="D83" s="39" t="s">
        <v>673</v>
      </c>
      <c r="E83" s="39" t="s">
        <v>10</v>
      </c>
      <c r="F83" s="39" t="s">
        <v>64</v>
      </c>
      <c r="G83" s="51" t="s">
        <v>1380</v>
      </c>
      <c r="H83" s="51" t="s">
        <v>1380</v>
      </c>
      <c r="I83" s="40">
        <v>40.306</v>
      </c>
      <c r="J83" s="55">
        <v>19.02181</v>
      </c>
      <c r="K83" s="55">
        <v>73.05078</v>
      </c>
      <c r="L83" s="40" t="s">
        <v>102</v>
      </c>
      <c r="N83" s="39" t="s">
        <v>67</v>
      </c>
      <c r="O83" s="39" t="s">
        <v>67</v>
      </c>
      <c r="Q83" s="39">
        <v>0.0</v>
      </c>
      <c r="R83" s="39">
        <v>0.0</v>
      </c>
      <c r="S83" s="39">
        <v>1.0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AC83" s="39">
        <v>300.0</v>
      </c>
      <c r="AE83" s="39">
        <v>1.0</v>
      </c>
    </row>
    <row r="84">
      <c r="A84" s="20" t="s">
        <v>1381</v>
      </c>
      <c r="D84" s="39" t="s">
        <v>673</v>
      </c>
      <c r="E84" s="39" t="s">
        <v>10</v>
      </c>
      <c r="F84" s="39" t="s">
        <v>64</v>
      </c>
      <c r="G84" s="51" t="s">
        <v>1382</v>
      </c>
      <c r="H84" s="51" t="s">
        <v>1382</v>
      </c>
      <c r="I84" s="40">
        <v>40.729</v>
      </c>
      <c r="J84" s="55">
        <v>19.02478</v>
      </c>
      <c r="K84" s="55">
        <v>73.05685</v>
      </c>
      <c r="L84" s="40" t="s">
        <v>102</v>
      </c>
      <c r="N84" s="39" t="s">
        <v>67</v>
      </c>
      <c r="O84" s="39" t="s">
        <v>68</v>
      </c>
      <c r="Q84" s="39">
        <v>0.0</v>
      </c>
      <c r="R84" s="39">
        <v>0.0</v>
      </c>
      <c r="S84" s="39">
        <v>1.0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AC84" s="39">
        <v>400.0</v>
      </c>
      <c r="AE84" s="39">
        <v>1.0</v>
      </c>
    </row>
    <row r="85">
      <c r="A85" s="20" t="s">
        <v>1383</v>
      </c>
      <c r="D85" s="39" t="s">
        <v>673</v>
      </c>
      <c r="E85" s="39" t="s">
        <v>10</v>
      </c>
      <c r="F85" s="39" t="s">
        <v>64</v>
      </c>
      <c r="G85" s="51" t="s">
        <v>1384</v>
      </c>
      <c r="H85" s="39" t="s">
        <v>1385</v>
      </c>
      <c r="I85" s="40">
        <v>41.138</v>
      </c>
      <c r="J85" s="55">
        <v>19.02668</v>
      </c>
      <c r="K85" s="55">
        <v>73.06041</v>
      </c>
      <c r="L85" s="40" t="s">
        <v>102</v>
      </c>
      <c r="N85" s="39" t="s">
        <v>67</v>
      </c>
      <c r="O85" s="39" t="s">
        <v>68</v>
      </c>
      <c r="Q85" s="39">
        <v>0.0</v>
      </c>
      <c r="R85" s="39">
        <v>0.0</v>
      </c>
      <c r="S85" s="39">
        <v>1.0</v>
      </c>
      <c r="T85" s="39">
        <v>0.0</v>
      </c>
      <c r="U85" s="39">
        <v>0.0</v>
      </c>
      <c r="V85" s="39">
        <v>0.0</v>
      </c>
      <c r="W85" s="39">
        <v>0.0</v>
      </c>
      <c r="X85" s="39">
        <v>0.0</v>
      </c>
      <c r="Y85" s="39">
        <v>0.0</v>
      </c>
      <c r="AC85" s="39">
        <v>800.0</v>
      </c>
      <c r="AE85" s="39">
        <v>1.0</v>
      </c>
    </row>
    <row r="86">
      <c r="A86" s="20" t="s">
        <v>1386</v>
      </c>
      <c r="D86" s="39" t="s">
        <v>673</v>
      </c>
      <c r="E86" s="39" t="s">
        <v>10</v>
      </c>
      <c r="F86" s="39" t="s">
        <v>64</v>
      </c>
      <c r="G86" s="51" t="s">
        <v>1387</v>
      </c>
      <c r="H86" s="51" t="s">
        <v>1387</v>
      </c>
      <c r="I86" s="40">
        <v>41.537</v>
      </c>
      <c r="J86" s="55">
        <v>19.02843</v>
      </c>
      <c r="K86" s="55">
        <v>73.06387</v>
      </c>
      <c r="L86" s="40" t="s">
        <v>102</v>
      </c>
      <c r="N86" s="39" t="s">
        <v>67</v>
      </c>
      <c r="O86" s="39" t="s">
        <v>81</v>
      </c>
      <c r="Q86" s="39">
        <v>0.0</v>
      </c>
      <c r="R86" s="39">
        <v>0.0</v>
      </c>
      <c r="S86" s="39">
        <v>1.0</v>
      </c>
      <c r="T86" s="39">
        <v>0.0</v>
      </c>
      <c r="U86" s="39">
        <v>0.0</v>
      </c>
      <c r="V86" s="39">
        <v>0.0</v>
      </c>
      <c r="W86" s="39">
        <v>0.0</v>
      </c>
      <c r="X86" s="39">
        <v>0.0</v>
      </c>
      <c r="Y86" s="39">
        <v>0.0</v>
      </c>
      <c r="AC86" s="39">
        <v>1000.0</v>
      </c>
      <c r="AE86" s="39">
        <v>1.0</v>
      </c>
    </row>
    <row r="87">
      <c r="A87" s="20" t="s">
        <v>1388</v>
      </c>
      <c r="D87" s="39" t="s">
        <v>673</v>
      </c>
      <c r="E87" s="39" t="s">
        <v>10</v>
      </c>
      <c r="F87" s="39" t="s">
        <v>64</v>
      </c>
      <c r="G87" s="51" t="s">
        <v>1389</v>
      </c>
      <c r="H87" s="51" t="s">
        <v>1389</v>
      </c>
      <c r="I87" s="40">
        <v>41.981</v>
      </c>
      <c r="J87" s="55">
        <v>19.02865</v>
      </c>
      <c r="K87" s="55">
        <v>73.06754</v>
      </c>
      <c r="L87" s="40" t="s">
        <v>102</v>
      </c>
      <c r="N87" s="39" t="s">
        <v>67</v>
      </c>
      <c r="O87" s="39" t="s">
        <v>81</v>
      </c>
      <c r="Q87" s="39">
        <v>0.0</v>
      </c>
      <c r="R87" s="39">
        <v>0.0</v>
      </c>
      <c r="S87" s="39">
        <v>1.0</v>
      </c>
      <c r="T87" s="39">
        <v>0.0</v>
      </c>
      <c r="U87" s="39">
        <v>0.0</v>
      </c>
      <c r="V87" s="39">
        <v>0.0</v>
      </c>
      <c r="W87" s="39">
        <v>0.0</v>
      </c>
      <c r="X87" s="39">
        <v>0.0</v>
      </c>
      <c r="Y87" s="39">
        <v>0.0</v>
      </c>
      <c r="AC87" s="39">
        <v>400.0</v>
      </c>
      <c r="AE87" s="39">
        <v>1.0</v>
      </c>
    </row>
    <row r="88">
      <c r="A88" s="20" t="s">
        <v>1390</v>
      </c>
      <c r="D88" s="39" t="s">
        <v>673</v>
      </c>
      <c r="E88" s="39" t="s">
        <v>10</v>
      </c>
      <c r="F88" s="39" t="s">
        <v>64</v>
      </c>
      <c r="G88" s="51" t="s">
        <v>1391</v>
      </c>
      <c r="H88" s="51" t="s">
        <v>1391</v>
      </c>
      <c r="I88" s="40">
        <v>42.567</v>
      </c>
      <c r="J88" s="55">
        <v>19.02648</v>
      </c>
      <c r="K88" s="55">
        <v>73.07089</v>
      </c>
      <c r="L88" s="40" t="s">
        <v>102</v>
      </c>
      <c r="N88" s="39" t="s">
        <v>67</v>
      </c>
      <c r="O88" s="39" t="s">
        <v>81</v>
      </c>
      <c r="Q88" s="39">
        <v>0.0</v>
      </c>
      <c r="R88" s="39">
        <v>0.0</v>
      </c>
      <c r="S88" s="39">
        <v>1.0</v>
      </c>
      <c r="T88" s="39">
        <v>0.0</v>
      </c>
      <c r="U88" s="39">
        <v>0.0</v>
      </c>
      <c r="V88" s="39">
        <v>0.0</v>
      </c>
      <c r="W88" s="39">
        <v>0.0</v>
      </c>
      <c r="X88" s="39">
        <v>0.0</v>
      </c>
      <c r="Y88" s="39">
        <v>0.0</v>
      </c>
      <c r="AC88" s="39">
        <v>400.0</v>
      </c>
      <c r="AE88" s="39">
        <v>1.0</v>
      </c>
    </row>
    <row r="89">
      <c r="A89" s="20" t="s">
        <v>1392</v>
      </c>
      <c r="D89" s="39" t="s">
        <v>673</v>
      </c>
      <c r="E89" s="39" t="s">
        <v>10</v>
      </c>
      <c r="F89" s="39" t="s">
        <v>64</v>
      </c>
      <c r="G89" s="51" t="s">
        <v>1393</v>
      </c>
      <c r="H89" s="51" t="s">
        <v>1393</v>
      </c>
      <c r="I89" s="40">
        <v>43.125</v>
      </c>
      <c r="J89" s="55">
        <v>19.02253</v>
      </c>
      <c r="K89" s="55">
        <v>73.07482</v>
      </c>
      <c r="L89" s="40" t="s">
        <v>102</v>
      </c>
      <c r="N89" s="39" t="s">
        <v>67</v>
      </c>
      <c r="O89" s="39" t="s">
        <v>68</v>
      </c>
      <c r="Q89" s="39">
        <v>0.0</v>
      </c>
      <c r="R89" s="39">
        <v>0.0</v>
      </c>
      <c r="S89" s="39">
        <v>1.0</v>
      </c>
      <c r="T89" s="39">
        <v>0.0</v>
      </c>
      <c r="U89" s="39">
        <v>0.0</v>
      </c>
      <c r="V89" s="39">
        <v>0.0</v>
      </c>
      <c r="W89" s="39">
        <v>0.0</v>
      </c>
      <c r="X89" s="39">
        <v>0.0</v>
      </c>
      <c r="Y89" s="39">
        <v>0.0</v>
      </c>
      <c r="AC89" s="39">
        <v>700.0</v>
      </c>
      <c r="AE89" s="39">
        <v>1.0</v>
      </c>
    </row>
    <row r="90">
      <c r="A90" s="20" t="s">
        <v>1394</v>
      </c>
      <c r="D90" s="39" t="s">
        <v>673</v>
      </c>
      <c r="E90" s="39" t="s">
        <v>10</v>
      </c>
      <c r="F90" s="39" t="s">
        <v>64</v>
      </c>
      <c r="G90" s="51" t="s">
        <v>1395</v>
      </c>
      <c r="H90" s="51" t="s">
        <v>1395</v>
      </c>
      <c r="I90" s="40">
        <v>43.638</v>
      </c>
      <c r="J90" s="55">
        <v>19.01887</v>
      </c>
      <c r="K90" s="55">
        <v>73.07843</v>
      </c>
      <c r="L90" s="40" t="s">
        <v>102</v>
      </c>
      <c r="N90" s="39" t="s">
        <v>67</v>
      </c>
      <c r="O90" s="39" t="s">
        <v>68</v>
      </c>
      <c r="Q90" s="39">
        <v>0.0</v>
      </c>
      <c r="R90" s="39">
        <v>0.0</v>
      </c>
      <c r="S90" s="39">
        <v>1.0</v>
      </c>
      <c r="T90" s="39">
        <v>0.0</v>
      </c>
      <c r="U90" s="39">
        <v>0.0</v>
      </c>
      <c r="V90" s="39">
        <v>0.0</v>
      </c>
      <c r="W90" s="39">
        <v>0.0</v>
      </c>
      <c r="X90" s="39">
        <v>0.0</v>
      </c>
      <c r="Y90" s="39">
        <v>0.0</v>
      </c>
      <c r="AC90" s="39">
        <v>400.0</v>
      </c>
      <c r="AE90" s="39">
        <v>1.0</v>
      </c>
    </row>
    <row r="91">
      <c r="A91" s="20" t="s">
        <v>1396</v>
      </c>
      <c r="D91" s="39" t="s">
        <v>673</v>
      </c>
      <c r="E91" s="39" t="s">
        <v>10</v>
      </c>
      <c r="F91" s="39" t="s">
        <v>64</v>
      </c>
      <c r="G91" s="51" t="s">
        <v>1397</v>
      </c>
      <c r="H91" s="39" t="s">
        <v>1398</v>
      </c>
      <c r="I91" s="40">
        <v>44.017</v>
      </c>
      <c r="J91" s="55">
        <v>19.0155</v>
      </c>
      <c r="K91" s="55">
        <v>73.08178</v>
      </c>
      <c r="L91" s="40" t="s">
        <v>102</v>
      </c>
      <c r="N91" s="39" t="s">
        <v>67</v>
      </c>
      <c r="O91" s="39" t="s">
        <v>68</v>
      </c>
      <c r="Q91" s="39">
        <v>0.0</v>
      </c>
      <c r="R91" s="39">
        <v>0.0</v>
      </c>
      <c r="S91" s="39">
        <v>1.0</v>
      </c>
      <c r="T91" s="39">
        <v>0.0</v>
      </c>
      <c r="U91" s="39">
        <v>0.0</v>
      </c>
      <c r="V91" s="39">
        <v>0.0</v>
      </c>
      <c r="W91" s="39">
        <v>0.0</v>
      </c>
      <c r="X91" s="39">
        <v>0.0</v>
      </c>
      <c r="Y91" s="39">
        <v>0.0</v>
      </c>
      <c r="AC91" s="39">
        <v>700.0</v>
      </c>
      <c r="AE91" s="39">
        <v>1.0</v>
      </c>
    </row>
    <row r="92">
      <c r="A92" s="20" t="s">
        <v>1399</v>
      </c>
      <c r="D92" s="39" t="s">
        <v>673</v>
      </c>
      <c r="E92" s="39" t="s">
        <v>10</v>
      </c>
      <c r="F92" s="39" t="s">
        <v>64</v>
      </c>
      <c r="G92" s="51" t="s">
        <v>1400</v>
      </c>
      <c r="H92" s="51" t="s">
        <v>1400</v>
      </c>
      <c r="I92" s="40">
        <v>44.417</v>
      </c>
      <c r="J92" s="55">
        <v>19.01301</v>
      </c>
      <c r="K92" s="55">
        <v>73.08424</v>
      </c>
      <c r="L92" s="40" t="s">
        <v>102</v>
      </c>
      <c r="N92" s="39" t="s">
        <v>67</v>
      </c>
      <c r="O92" s="39" t="s">
        <v>68</v>
      </c>
      <c r="Q92" s="39">
        <v>0.0</v>
      </c>
      <c r="R92" s="39">
        <v>0.0</v>
      </c>
      <c r="S92" s="39">
        <v>1.0</v>
      </c>
      <c r="T92" s="39">
        <v>0.0</v>
      </c>
      <c r="U92" s="39">
        <v>0.0</v>
      </c>
      <c r="V92" s="39">
        <v>0.0</v>
      </c>
      <c r="W92" s="39">
        <v>0.0</v>
      </c>
      <c r="X92" s="39">
        <v>0.0</v>
      </c>
      <c r="Y92" s="39">
        <v>0.0</v>
      </c>
      <c r="AC92" s="39">
        <v>600.0</v>
      </c>
      <c r="AE92" s="39">
        <v>1.0</v>
      </c>
    </row>
    <row r="93">
      <c r="A93" s="20" t="s">
        <v>1401</v>
      </c>
      <c r="D93" s="39" t="s">
        <v>673</v>
      </c>
      <c r="E93" s="39" t="s">
        <v>10</v>
      </c>
      <c r="F93" s="39" t="s">
        <v>64</v>
      </c>
      <c r="G93" s="51" t="s">
        <v>1402</v>
      </c>
      <c r="H93" s="51" t="s">
        <v>1402</v>
      </c>
      <c r="I93" s="40">
        <v>44.98</v>
      </c>
      <c r="J93" s="55">
        <v>19.01042</v>
      </c>
      <c r="K93" s="55">
        <v>73.08682</v>
      </c>
      <c r="L93" s="40" t="s">
        <v>102</v>
      </c>
      <c r="N93" s="39" t="s">
        <v>67</v>
      </c>
      <c r="O93" s="39" t="s">
        <v>67</v>
      </c>
      <c r="Q93" s="39">
        <v>0.0</v>
      </c>
      <c r="R93" s="39">
        <v>0.0</v>
      </c>
      <c r="S93" s="39">
        <v>1.0</v>
      </c>
      <c r="T93" s="39">
        <v>0.0</v>
      </c>
      <c r="U93" s="39">
        <v>0.0</v>
      </c>
      <c r="V93" s="39">
        <v>0.0</v>
      </c>
      <c r="W93" s="39">
        <v>0.0</v>
      </c>
      <c r="X93" s="39">
        <v>0.0</v>
      </c>
      <c r="Y93" s="39">
        <v>0.0</v>
      </c>
      <c r="AC93" s="39">
        <v>400.0</v>
      </c>
      <c r="AE93" s="39">
        <v>1.0</v>
      </c>
    </row>
    <row r="94">
      <c r="A94" s="20" t="s">
        <v>1403</v>
      </c>
      <c r="D94" s="39" t="s">
        <v>673</v>
      </c>
      <c r="E94" s="39" t="s">
        <v>10</v>
      </c>
      <c r="F94" s="39" t="s">
        <v>64</v>
      </c>
      <c r="G94" s="51" t="s">
        <v>1404</v>
      </c>
      <c r="H94" s="51" t="s">
        <v>1404</v>
      </c>
      <c r="I94" s="40">
        <v>45.54</v>
      </c>
      <c r="J94" s="55">
        <v>19.00833</v>
      </c>
      <c r="K94" s="55">
        <v>73.09155</v>
      </c>
      <c r="L94" s="40" t="s">
        <v>102</v>
      </c>
      <c r="N94" s="39" t="s">
        <v>67</v>
      </c>
      <c r="O94" s="39" t="s">
        <v>68</v>
      </c>
      <c r="Q94" s="39">
        <v>0.0</v>
      </c>
      <c r="R94" s="39">
        <v>0.0</v>
      </c>
      <c r="S94" s="39">
        <v>1.0</v>
      </c>
      <c r="T94" s="39">
        <v>0.0</v>
      </c>
      <c r="U94" s="39">
        <v>0.0</v>
      </c>
      <c r="V94" s="39">
        <v>0.0</v>
      </c>
      <c r="W94" s="39">
        <v>0.0</v>
      </c>
      <c r="X94" s="39">
        <v>0.0</v>
      </c>
      <c r="Y94" s="39">
        <v>0.0</v>
      </c>
      <c r="AC94" s="39">
        <v>300.0</v>
      </c>
      <c r="AE94" s="39">
        <v>1.0</v>
      </c>
    </row>
    <row r="95">
      <c r="A95" s="20" t="s">
        <v>1405</v>
      </c>
      <c r="D95" s="39" t="s">
        <v>673</v>
      </c>
      <c r="E95" s="39" t="s">
        <v>10</v>
      </c>
      <c r="F95" s="39" t="s">
        <v>64</v>
      </c>
      <c r="G95" s="51" t="s">
        <v>1406</v>
      </c>
      <c r="H95" s="39" t="s">
        <v>1407</v>
      </c>
      <c r="I95" s="40">
        <v>45.94</v>
      </c>
      <c r="J95" s="55">
        <v>19.00713</v>
      </c>
      <c r="K95" s="55">
        <v>73.09675</v>
      </c>
      <c r="L95" s="40" t="s">
        <v>102</v>
      </c>
      <c r="N95" s="39" t="s">
        <v>67</v>
      </c>
      <c r="O95" s="39" t="s">
        <v>68</v>
      </c>
      <c r="Q95" s="39">
        <v>0.0</v>
      </c>
      <c r="R95" s="39">
        <v>0.0</v>
      </c>
      <c r="S95" s="39">
        <v>1.0</v>
      </c>
      <c r="T95" s="39">
        <v>0.0</v>
      </c>
      <c r="U95" s="39">
        <v>0.0</v>
      </c>
      <c r="V95" s="39">
        <v>0.0</v>
      </c>
      <c r="W95" s="39">
        <v>0.0</v>
      </c>
      <c r="X95" s="39">
        <v>0.0</v>
      </c>
      <c r="Y95" s="39">
        <v>0.0</v>
      </c>
      <c r="AC95" s="39">
        <v>350.0</v>
      </c>
      <c r="AE95" s="39">
        <v>1.0</v>
      </c>
    </row>
    <row r="96">
      <c r="A96" s="20" t="s">
        <v>1408</v>
      </c>
      <c r="D96" s="39" t="s">
        <v>673</v>
      </c>
      <c r="E96" s="39" t="s">
        <v>10</v>
      </c>
      <c r="F96" s="39" t="s">
        <v>64</v>
      </c>
      <c r="G96" s="51" t="s">
        <v>1409</v>
      </c>
      <c r="H96" s="51" t="s">
        <v>1409</v>
      </c>
      <c r="I96" s="40">
        <v>46.333</v>
      </c>
      <c r="J96" s="55">
        <v>19.00625</v>
      </c>
      <c r="K96" s="55">
        <v>73.1004</v>
      </c>
      <c r="L96" s="40" t="s">
        <v>102</v>
      </c>
      <c r="N96" s="39" t="s">
        <v>67</v>
      </c>
      <c r="O96" s="39" t="s">
        <v>68</v>
      </c>
      <c r="Q96" s="39">
        <v>0.0</v>
      </c>
      <c r="R96" s="39">
        <v>0.0</v>
      </c>
      <c r="S96" s="39">
        <v>1.0</v>
      </c>
      <c r="T96" s="39">
        <v>0.0</v>
      </c>
      <c r="U96" s="39">
        <v>0.0</v>
      </c>
      <c r="V96" s="39">
        <v>0.0</v>
      </c>
      <c r="W96" s="39">
        <v>0.0</v>
      </c>
      <c r="X96" s="39">
        <v>0.0</v>
      </c>
      <c r="Y96" s="39">
        <v>0.0</v>
      </c>
      <c r="AC96" s="39">
        <v>800.0</v>
      </c>
      <c r="AE96" s="39">
        <v>1.0</v>
      </c>
    </row>
    <row r="97">
      <c r="A97" s="20" t="s">
        <v>1410</v>
      </c>
      <c r="D97" s="39" t="s">
        <v>673</v>
      </c>
      <c r="E97" s="39" t="s">
        <v>10</v>
      </c>
      <c r="F97" s="39" t="s">
        <v>64</v>
      </c>
      <c r="G97" s="51" t="s">
        <v>1411</v>
      </c>
      <c r="H97" s="51" t="s">
        <v>1411</v>
      </c>
      <c r="I97" s="40">
        <v>46.768</v>
      </c>
      <c r="J97" s="55">
        <v>19.00474</v>
      </c>
      <c r="K97" s="55">
        <v>73.10375</v>
      </c>
      <c r="L97" s="40" t="s">
        <v>102</v>
      </c>
      <c r="N97" s="39" t="s">
        <v>67</v>
      </c>
      <c r="O97" s="39" t="s">
        <v>81</v>
      </c>
      <c r="Q97" s="39">
        <v>0.0</v>
      </c>
      <c r="R97" s="39">
        <v>0.0</v>
      </c>
      <c r="S97" s="39">
        <v>1.0</v>
      </c>
      <c r="T97" s="39">
        <v>0.0</v>
      </c>
      <c r="U97" s="39">
        <v>0.0</v>
      </c>
      <c r="V97" s="39">
        <v>0.0</v>
      </c>
      <c r="W97" s="39">
        <v>0.0</v>
      </c>
      <c r="X97" s="39">
        <v>0.0</v>
      </c>
      <c r="Y97" s="39">
        <v>0.0</v>
      </c>
      <c r="AC97" s="39">
        <v>400.0</v>
      </c>
      <c r="AE97" s="39">
        <v>1.0</v>
      </c>
    </row>
    <row r="98">
      <c r="A98" s="20" t="s">
        <v>1412</v>
      </c>
      <c r="D98" s="39" t="s">
        <v>673</v>
      </c>
      <c r="E98" s="39" t="s">
        <v>10</v>
      </c>
      <c r="F98" s="39" t="s">
        <v>64</v>
      </c>
      <c r="G98" s="51" t="s">
        <v>1413</v>
      </c>
      <c r="H98" s="51" t="s">
        <v>1413</v>
      </c>
      <c r="I98" s="40">
        <v>47.141</v>
      </c>
      <c r="J98" s="55">
        <v>19.00278</v>
      </c>
      <c r="K98" s="55">
        <v>73.10733</v>
      </c>
      <c r="L98" s="40" t="s">
        <v>102</v>
      </c>
      <c r="N98" s="39" t="s">
        <v>67</v>
      </c>
      <c r="O98" s="39" t="s">
        <v>68</v>
      </c>
      <c r="Q98" s="39">
        <v>0.0</v>
      </c>
      <c r="R98" s="39">
        <v>0.0</v>
      </c>
      <c r="S98" s="39">
        <v>1.0</v>
      </c>
      <c r="T98" s="39">
        <v>0.0</v>
      </c>
      <c r="U98" s="39">
        <v>0.0</v>
      </c>
      <c r="V98" s="39">
        <v>0.0</v>
      </c>
      <c r="W98" s="39">
        <v>0.0</v>
      </c>
      <c r="X98" s="39">
        <v>0.0</v>
      </c>
      <c r="Y98" s="39">
        <v>0.0</v>
      </c>
      <c r="AC98" s="39">
        <v>700.0</v>
      </c>
      <c r="AE98" s="39">
        <v>1.0</v>
      </c>
    </row>
    <row r="99">
      <c r="A99" s="20" t="s">
        <v>1414</v>
      </c>
      <c r="D99" s="39" t="s">
        <v>673</v>
      </c>
      <c r="E99" s="39" t="s">
        <v>10</v>
      </c>
      <c r="F99" s="39" t="s">
        <v>64</v>
      </c>
      <c r="G99" s="51" t="s">
        <v>1415</v>
      </c>
      <c r="H99" s="51" t="s">
        <v>1415</v>
      </c>
      <c r="I99" s="40">
        <v>47.669</v>
      </c>
      <c r="J99" s="55">
        <v>19.00113</v>
      </c>
      <c r="K99" s="55">
        <v>73.11038</v>
      </c>
      <c r="L99" s="40" t="s">
        <v>102</v>
      </c>
      <c r="N99" s="39" t="s">
        <v>67</v>
      </c>
      <c r="O99" s="39" t="s">
        <v>68</v>
      </c>
      <c r="Q99" s="39">
        <v>0.0</v>
      </c>
      <c r="R99" s="39">
        <v>0.0</v>
      </c>
      <c r="S99" s="39">
        <v>1.0</v>
      </c>
      <c r="T99" s="39">
        <v>0.0</v>
      </c>
      <c r="U99" s="39">
        <v>0.0</v>
      </c>
      <c r="V99" s="39">
        <v>0.0</v>
      </c>
      <c r="W99" s="39">
        <v>0.0</v>
      </c>
      <c r="X99" s="39">
        <v>0.0</v>
      </c>
      <c r="Y99" s="39">
        <v>0.0</v>
      </c>
      <c r="AC99" s="39">
        <v>700.0</v>
      </c>
      <c r="AE99" s="39">
        <v>1.0</v>
      </c>
    </row>
    <row r="100">
      <c r="A100" s="20" t="s">
        <v>1416</v>
      </c>
      <c r="B100" s="39" t="s">
        <v>1417</v>
      </c>
      <c r="C100" s="39" t="s">
        <v>1418</v>
      </c>
      <c r="D100" s="39" t="s">
        <v>673</v>
      </c>
      <c r="E100" s="39" t="s">
        <v>10</v>
      </c>
      <c r="F100" s="39" t="s">
        <v>64</v>
      </c>
      <c r="G100" s="51" t="s">
        <v>1419</v>
      </c>
      <c r="H100" s="51" t="s">
        <v>1419</v>
      </c>
      <c r="I100" s="40">
        <v>48.181</v>
      </c>
      <c r="J100" s="55">
        <v>18.99785</v>
      </c>
      <c r="K100" s="55">
        <v>73.11405</v>
      </c>
      <c r="L100" s="2" t="s">
        <v>66</v>
      </c>
      <c r="N100" s="39" t="s">
        <v>67</v>
      </c>
      <c r="O100" s="39" t="s">
        <v>68</v>
      </c>
      <c r="Q100" s="39">
        <v>0.0</v>
      </c>
      <c r="R100" s="39">
        <v>0.0</v>
      </c>
      <c r="S100" s="39">
        <v>1.0</v>
      </c>
      <c r="T100" s="39">
        <v>0.0</v>
      </c>
      <c r="U100" s="39">
        <v>0.0</v>
      </c>
      <c r="V100" s="39">
        <v>1.0</v>
      </c>
      <c r="W100" s="39">
        <v>0.0</v>
      </c>
      <c r="X100" s="39">
        <v>0.0</v>
      </c>
      <c r="Y100" s="39">
        <v>1.0</v>
      </c>
      <c r="Z100" s="30" t="s">
        <v>1420</v>
      </c>
      <c r="AA100" s="30" t="s">
        <v>97</v>
      </c>
      <c r="AC100" s="39">
        <v>300.0</v>
      </c>
      <c r="AE100" s="39">
        <v>1.0</v>
      </c>
    </row>
    <row r="101">
      <c r="A101" s="20" t="s">
        <v>1421</v>
      </c>
      <c r="B101" s="39" t="s">
        <v>1417</v>
      </c>
      <c r="C101" s="39" t="s">
        <v>1418</v>
      </c>
      <c r="D101" s="39" t="s">
        <v>673</v>
      </c>
      <c r="E101" s="39" t="s">
        <v>10</v>
      </c>
      <c r="F101" s="39" t="s">
        <v>64</v>
      </c>
      <c r="G101" s="51" t="s">
        <v>1422</v>
      </c>
      <c r="H101" s="51" t="s">
        <v>1422</v>
      </c>
      <c r="I101" s="40">
        <v>48.815</v>
      </c>
      <c r="J101" s="55">
        <v>18.99453</v>
      </c>
      <c r="K101" s="55">
        <v>73.11724</v>
      </c>
      <c r="L101" s="2" t="s">
        <v>66</v>
      </c>
      <c r="N101" s="39" t="s">
        <v>67</v>
      </c>
      <c r="O101" s="39" t="s">
        <v>68</v>
      </c>
      <c r="Q101" s="39">
        <v>0.0</v>
      </c>
      <c r="R101" s="39">
        <v>0.0</v>
      </c>
      <c r="S101" s="39">
        <v>1.0</v>
      </c>
      <c r="T101" s="39">
        <v>0.0</v>
      </c>
      <c r="U101" s="39">
        <v>0.0</v>
      </c>
      <c r="V101" s="39">
        <v>1.0</v>
      </c>
      <c r="W101" s="39">
        <v>1.0</v>
      </c>
      <c r="X101" s="39">
        <v>0.0</v>
      </c>
      <c r="Y101" s="39">
        <v>1.0</v>
      </c>
      <c r="Z101" s="30" t="s">
        <v>1100</v>
      </c>
      <c r="AA101" s="30" t="s">
        <v>97</v>
      </c>
      <c r="AC101" s="39">
        <v>500.0</v>
      </c>
      <c r="AE101" s="39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4.88"/>
  </cols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673</v>
      </c>
      <c r="B2" s="39" t="s">
        <v>10</v>
      </c>
      <c r="C2" s="39" t="s">
        <v>64</v>
      </c>
      <c r="D2" s="43" t="s">
        <v>1423</v>
      </c>
      <c r="E2" s="43" t="s">
        <v>1424</v>
      </c>
      <c r="F2" s="40">
        <f>1.175-0.067</f>
        <v>1.108</v>
      </c>
      <c r="G2" s="39">
        <v>1.46</v>
      </c>
      <c r="H2" s="56">
        <v>40.0</v>
      </c>
      <c r="I2" s="45">
        <v>18.94566</v>
      </c>
      <c r="J2" s="45">
        <v>72.83595</v>
      </c>
      <c r="K2" s="45">
        <v>18.9478</v>
      </c>
      <c r="L2" s="45">
        <v>72.83768</v>
      </c>
      <c r="M2" s="39" t="s">
        <v>1425</v>
      </c>
      <c r="O2" s="39" t="s">
        <v>1181</v>
      </c>
    </row>
    <row r="3">
      <c r="A3" s="39" t="s">
        <v>673</v>
      </c>
      <c r="B3" s="39" t="s">
        <v>10</v>
      </c>
      <c r="C3" s="39" t="s">
        <v>64</v>
      </c>
      <c r="D3" s="43" t="s">
        <v>1426</v>
      </c>
      <c r="E3" s="43" t="s">
        <v>1427</v>
      </c>
      <c r="F3" s="39">
        <v>1.803</v>
      </c>
      <c r="G3" s="39">
        <v>2.095</v>
      </c>
      <c r="H3" s="44">
        <v>60.0</v>
      </c>
      <c r="I3" s="45">
        <v>18.95777</v>
      </c>
      <c r="J3" s="45">
        <v>72.83861</v>
      </c>
      <c r="K3" s="45">
        <v>18.96029</v>
      </c>
      <c r="L3" s="45">
        <v>72.83934</v>
      </c>
      <c r="M3" s="39" t="s">
        <v>1428</v>
      </c>
      <c r="O3" s="39" t="s">
        <v>1191</v>
      </c>
    </row>
    <row r="4">
      <c r="A4" s="39" t="s">
        <v>673</v>
      </c>
      <c r="B4" s="39" t="s">
        <v>10</v>
      </c>
      <c r="C4" s="39" t="s">
        <v>64</v>
      </c>
      <c r="D4" s="43" t="s">
        <v>1429</v>
      </c>
      <c r="E4" s="43" t="s">
        <v>1430</v>
      </c>
      <c r="F4" s="39">
        <v>2.054</v>
      </c>
      <c r="G4" s="39">
        <v>2.316</v>
      </c>
      <c r="H4" s="44">
        <v>40.0</v>
      </c>
      <c r="I4" s="45">
        <v>18.96029</v>
      </c>
      <c r="J4" s="45">
        <v>72.83934</v>
      </c>
      <c r="K4" s="45">
        <v>18.96489</v>
      </c>
      <c r="L4" s="45">
        <v>72.84327</v>
      </c>
      <c r="M4" s="39" t="s">
        <v>1431</v>
      </c>
      <c r="O4" s="39" t="s">
        <v>1191</v>
      </c>
    </row>
    <row r="5">
      <c r="A5" s="39" t="s">
        <v>673</v>
      </c>
      <c r="B5" s="39" t="s">
        <v>10</v>
      </c>
      <c r="C5" s="39" t="s">
        <v>64</v>
      </c>
      <c r="D5" s="43" t="s">
        <v>1432</v>
      </c>
      <c r="E5" s="43" t="s">
        <v>1433</v>
      </c>
      <c r="F5" s="39">
        <v>2.708</v>
      </c>
      <c r="G5" s="39">
        <v>3.374</v>
      </c>
      <c r="H5" s="44">
        <v>55.0</v>
      </c>
      <c r="I5" s="45">
        <v>18.96489</v>
      </c>
      <c r="J5" s="45">
        <v>72.84327</v>
      </c>
      <c r="K5" s="45">
        <v>18.9706</v>
      </c>
      <c r="L5" s="45">
        <v>72.84448</v>
      </c>
      <c r="M5" s="39" t="s">
        <v>1434</v>
      </c>
      <c r="O5" s="39" t="s">
        <v>1196</v>
      </c>
    </row>
    <row r="6">
      <c r="A6" s="39" t="s">
        <v>673</v>
      </c>
      <c r="B6" s="39" t="s">
        <v>10</v>
      </c>
      <c r="C6" s="39" t="s">
        <v>64</v>
      </c>
      <c r="D6" s="43" t="s">
        <v>1435</v>
      </c>
      <c r="E6" s="43" t="s">
        <v>1436</v>
      </c>
      <c r="F6" s="39">
        <v>3.391</v>
      </c>
      <c r="G6" s="39">
        <v>4.355</v>
      </c>
      <c r="H6" s="44">
        <v>50.0</v>
      </c>
      <c r="I6" s="45">
        <v>18.9706</v>
      </c>
      <c r="J6" s="45">
        <v>72.84448</v>
      </c>
      <c r="K6" s="45">
        <v>18.97903</v>
      </c>
      <c r="L6" s="45">
        <v>72.84385</v>
      </c>
      <c r="M6" s="39" t="s">
        <v>1437</v>
      </c>
      <c r="O6" s="39" t="s">
        <v>1199</v>
      </c>
    </row>
    <row r="7">
      <c r="A7" s="39" t="s">
        <v>673</v>
      </c>
      <c r="B7" s="39" t="s">
        <v>10</v>
      </c>
      <c r="C7" s="39" t="s">
        <v>64</v>
      </c>
      <c r="D7" s="43" t="s">
        <v>1438</v>
      </c>
      <c r="E7" s="43" t="s">
        <v>1439</v>
      </c>
      <c r="F7" s="39">
        <v>4.689</v>
      </c>
      <c r="G7" s="39">
        <v>6.099</v>
      </c>
      <c r="H7" s="44">
        <v>60.0</v>
      </c>
      <c r="I7" s="45">
        <v>18.98245</v>
      </c>
      <c r="J7" s="45">
        <v>72.84298</v>
      </c>
      <c r="K7" s="45">
        <v>18.99177</v>
      </c>
      <c r="L7" s="45">
        <v>72.84987</v>
      </c>
      <c r="M7" s="39" t="s">
        <v>1437</v>
      </c>
      <c r="O7" s="39" t="s">
        <v>1206</v>
      </c>
    </row>
    <row r="8">
      <c r="A8" s="39" t="s">
        <v>673</v>
      </c>
      <c r="B8" s="39" t="s">
        <v>10</v>
      </c>
      <c r="C8" s="39" t="s">
        <v>64</v>
      </c>
      <c r="D8" s="43" t="s">
        <v>1440</v>
      </c>
      <c r="E8" s="43" t="s">
        <v>1441</v>
      </c>
      <c r="F8" s="39">
        <v>15.491</v>
      </c>
      <c r="G8" s="39">
        <v>16.701</v>
      </c>
      <c r="H8" s="44">
        <v>40.0</v>
      </c>
      <c r="I8" s="45">
        <v>19.06615</v>
      </c>
      <c r="J8" s="45">
        <v>72.88084</v>
      </c>
      <c r="K8" s="45">
        <v>19.06543</v>
      </c>
      <c r="L8" s="45">
        <v>72.89177</v>
      </c>
      <c r="M8" s="39" t="s">
        <v>1442</v>
      </c>
      <c r="O8" s="39" t="s">
        <v>1257</v>
      </c>
    </row>
    <row r="9">
      <c r="A9" s="39" t="s">
        <v>673</v>
      </c>
      <c r="B9" s="39" t="s">
        <v>10</v>
      </c>
      <c r="C9" s="39" t="s">
        <v>64</v>
      </c>
      <c r="D9" s="43" t="s">
        <v>1443</v>
      </c>
      <c r="E9" s="43" t="s">
        <v>1444</v>
      </c>
      <c r="F9" s="39">
        <v>20.424</v>
      </c>
      <c r="G9" s="39">
        <v>21.484</v>
      </c>
      <c r="H9" s="44">
        <v>50.0</v>
      </c>
      <c r="I9" s="45">
        <v>19.04829</v>
      </c>
      <c r="J9" s="45">
        <v>72.92825</v>
      </c>
      <c r="K9" s="45">
        <v>19.0507</v>
      </c>
      <c r="L9" s="45">
        <v>72.93748</v>
      </c>
      <c r="M9" s="39" t="s">
        <v>1445</v>
      </c>
      <c r="O9" s="39" t="s">
        <v>1282</v>
      </c>
    </row>
    <row r="10">
      <c r="A10" s="39" t="s">
        <v>673</v>
      </c>
      <c r="B10" s="39" t="s">
        <v>10</v>
      </c>
      <c r="C10" s="39" t="s">
        <v>64</v>
      </c>
      <c r="D10" s="43" t="s">
        <v>1446</v>
      </c>
      <c r="E10" s="43" t="s">
        <v>1447</v>
      </c>
      <c r="F10" s="39">
        <v>28.126</v>
      </c>
      <c r="G10" s="39">
        <v>28.526</v>
      </c>
      <c r="H10" s="44">
        <v>45.0</v>
      </c>
      <c r="I10" s="45">
        <v>19.06178</v>
      </c>
      <c r="J10" s="45">
        <v>72.9967</v>
      </c>
      <c r="K10" s="45">
        <v>19.06352</v>
      </c>
      <c r="L10" s="45">
        <v>73.00001</v>
      </c>
      <c r="M10" s="39" t="s">
        <v>1448</v>
      </c>
      <c r="O10" s="39" t="s">
        <v>1319</v>
      </c>
    </row>
    <row r="11">
      <c r="A11" s="39" t="s">
        <v>673</v>
      </c>
      <c r="B11" s="39" t="s">
        <v>10</v>
      </c>
      <c r="C11" s="39" t="s">
        <v>64</v>
      </c>
      <c r="D11" s="43" t="s">
        <v>1449</v>
      </c>
      <c r="E11" s="43" t="s">
        <v>1450</v>
      </c>
      <c r="F11" s="39">
        <v>29.597</v>
      </c>
      <c r="G11" s="39">
        <v>31.447</v>
      </c>
      <c r="H11" s="44">
        <v>85.0</v>
      </c>
      <c r="I11" s="45">
        <v>19.06531</v>
      </c>
      <c r="J11" s="45">
        <v>73.00642</v>
      </c>
      <c r="K11" s="45">
        <v>19.05889</v>
      </c>
      <c r="L11" s="45">
        <v>73.01836</v>
      </c>
      <c r="M11" s="39" t="s">
        <v>1451</v>
      </c>
      <c r="O11" s="39" t="s">
        <v>1323</v>
      </c>
    </row>
    <row r="12">
      <c r="A12" s="39" t="s">
        <v>673</v>
      </c>
      <c r="B12" s="39" t="s">
        <v>10</v>
      </c>
      <c r="C12" s="39" t="s">
        <v>64</v>
      </c>
      <c r="D12" s="43" t="s">
        <v>1333</v>
      </c>
      <c r="E12" s="43" t="s">
        <v>1452</v>
      </c>
      <c r="F12" s="39">
        <v>31.459</v>
      </c>
      <c r="G12" s="39">
        <v>31.944</v>
      </c>
      <c r="H12" s="44">
        <v>55.0</v>
      </c>
      <c r="I12" s="45">
        <v>19.05889</v>
      </c>
      <c r="J12" s="45">
        <v>73.01836</v>
      </c>
      <c r="K12" s="45">
        <v>19.05449</v>
      </c>
      <c r="L12" s="45">
        <v>73.01838</v>
      </c>
      <c r="M12" s="39" t="s">
        <v>1453</v>
      </c>
      <c r="O12" s="39" t="s">
        <v>1332</v>
      </c>
    </row>
    <row r="13">
      <c r="A13" s="39" t="s">
        <v>673</v>
      </c>
      <c r="B13" s="39" t="s">
        <v>10</v>
      </c>
      <c r="C13" s="39" t="s">
        <v>64</v>
      </c>
      <c r="D13" s="43" t="s">
        <v>1454</v>
      </c>
      <c r="E13" s="43" t="s">
        <v>1455</v>
      </c>
      <c r="F13" s="39">
        <v>32.137</v>
      </c>
      <c r="G13" s="39">
        <v>33.055</v>
      </c>
      <c r="H13" s="44">
        <v>80.0</v>
      </c>
      <c r="I13" s="45">
        <v>19.05431</v>
      </c>
      <c r="J13" s="45">
        <v>73.0183</v>
      </c>
      <c r="K13" s="45">
        <v>19.04607</v>
      </c>
      <c r="L13" s="45">
        <v>73.0189</v>
      </c>
      <c r="M13" s="39" t="s">
        <v>1456</v>
      </c>
      <c r="O13" s="39" t="s">
        <v>1339</v>
      </c>
    </row>
    <row r="14">
      <c r="A14" s="39" t="s">
        <v>673</v>
      </c>
      <c r="B14" s="39" t="s">
        <v>10</v>
      </c>
      <c r="C14" s="39" t="s">
        <v>64</v>
      </c>
      <c r="D14" s="43" t="s">
        <v>1457</v>
      </c>
      <c r="E14" s="43" t="s">
        <v>1458</v>
      </c>
      <c r="F14" s="32">
        <v>34.68</v>
      </c>
      <c r="G14" s="39">
        <v>35.158</v>
      </c>
      <c r="H14" s="44">
        <v>30.0</v>
      </c>
      <c r="I14" s="45">
        <v>19.03135</v>
      </c>
      <c r="J14" s="45">
        <v>73.01814</v>
      </c>
      <c r="K14" s="45">
        <v>19.02722</v>
      </c>
      <c r="L14" s="45">
        <v>73.01673</v>
      </c>
      <c r="M14" s="39" t="s">
        <v>1459</v>
      </c>
      <c r="O14" s="39" t="s">
        <v>1351</v>
      </c>
    </row>
    <row r="15">
      <c r="A15" s="39" t="s">
        <v>673</v>
      </c>
      <c r="B15" s="39" t="s">
        <v>10</v>
      </c>
      <c r="C15" s="39" t="s">
        <v>64</v>
      </c>
      <c r="D15" s="43" t="s">
        <v>1460</v>
      </c>
      <c r="E15" s="43" t="s">
        <v>1461</v>
      </c>
      <c r="F15" s="39">
        <v>35.166</v>
      </c>
      <c r="G15" s="39">
        <v>36.106</v>
      </c>
      <c r="H15" s="44">
        <v>80.0</v>
      </c>
      <c r="I15" s="45">
        <v>19.02722</v>
      </c>
      <c r="J15" s="45">
        <v>73.01673</v>
      </c>
      <c r="K15" s="45">
        <v>19.02044</v>
      </c>
      <c r="L15" s="45">
        <v>73.02109</v>
      </c>
      <c r="M15" s="39" t="s">
        <v>1462</v>
      </c>
      <c r="O15" s="39" t="s">
        <v>1351</v>
      </c>
    </row>
    <row r="16">
      <c r="A16" s="39" t="s">
        <v>673</v>
      </c>
      <c r="B16" s="39" t="s">
        <v>10</v>
      </c>
      <c r="C16" s="39" t="s">
        <v>64</v>
      </c>
      <c r="D16" s="43" t="s">
        <v>1463</v>
      </c>
      <c r="E16" s="43" t="s">
        <v>1464</v>
      </c>
      <c r="F16" s="39">
        <v>36.926</v>
      </c>
      <c r="G16" s="39">
        <v>37.833</v>
      </c>
      <c r="H16" s="44">
        <v>80.0</v>
      </c>
      <c r="I16" s="45">
        <v>19.01812</v>
      </c>
      <c r="J16" s="45">
        <v>73.02365</v>
      </c>
      <c r="K16" s="45">
        <v>19.0169</v>
      </c>
      <c r="L16" s="45">
        <v>73.03346</v>
      </c>
      <c r="M16" s="39" t="s">
        <v>1465</v>
      </c>
      <c r="O16" s="39" t="s">
        <v>1360</v>
      </c>
    </row>
    <row r="17">
      <c r="A17" s="39" t="s">
        <v>673</v>
      </c>
      <c r="B17" s="39" t="s">
        <v>10</v>
      </c>
      <c r="C17" s="39" t="s">
        <v>64</v>
      </c>
      <c r="D17" s="43" t="s">
        <v>1466</v>
      </c>
      <c r="E17" s="43" t="s">
        <v>1467</v>
      </c>
      <c r="F17" s="39">
        <v>38.125</v>
      </c>
      <c r="G17" s="39">
        <v>38.361</v>
      </c>
      <c r="H17" s="44">
        <v>65.0</v>
      </c>
      <c r="I17" s="45">
        <v>19.01708</v>
      </c>
      <c r="J17" s="45">
        <v>73.03473</v>
      </c>
      <c r="K17" s="45">
        <v>19.01783</v>
      </c>
      <c r="L17" s="45">
        <v>73.03678</v>
      </c>
      <c r="M17" s="39" t="s">
        <v>1468</v>
      </c>
      <c r="O17" s="39" t="s">
        <v>1469</v>
      </c>
    </row>
    <row r="18">
      <c r="A18" s="39" t="s">
        <v>673</v>
      </c>
      <c r="B18" s="39" t="s">
        <v>10</v>
      </c>
      <c r="C18" s="39" t="s">
        <v>64</v>
      </c>
      <c r="D18" s="43" t="s">
        <v>1470</v>
      </c>
      <c r="E18" s="43" t="s">
        <v>1471</v>
      </c>
      <c r="F18" s="39">
        <v>38.363</v>
      </c>
      <c r="G18" s="39">
        <v>39.063</v>
      </c>
      <c r="H18" s="44">
        <v>45.0</v>
      </c>
      <c r="I18" s="45">
        <v>19.01783</v>
      </c>
      <c r="J18" s="45">
        <v>73.03678</v>
      </c>
      <c r="K18" s="45">
        <v>19.02123</v>
      </c>
      <c r="L18" s="45">
        <v>73.0423</v>
      </c>
      <c r="M18" s="39" t="s">
        <v>1472</v>
      </c>
      <c r="O18" s="39" t="s">
        <v>1469</v>
      </c>
    </row>
    <row r="19">
      <c r="A19" s="39" t="s">
        <v>673</v>
      </c>
      <c r="B19" s="39" t="s">
        <v>10</v>
      </c>
      <c r="C19" s="39" t="s">
        <v>64</v>
      </c>
      <c r="D19" s="43" t="s">
        <v>1473</v>
      </c>
      <c r="E19" s="43" t="s">
        <v>1474</v>
      </c>
      <c r="F19" s="39">
        <v>39.09</v>
      </c>
      <c r="G19" s="39">
        <v>40.54</v>
      </c>
      <c r="H19" s="44">
        <v>80.0</v>
      </c>
      <c r="I19" s="45">
        <v>19.02137</v>
      </c>
      <c r="J19" s="45">
        <v>73.04248</v>
      </c>
      <c r="K19" s="45">
        <v>19.02406</v>
      </c>
      <c r="L19" s="45">
        <v>73.05546</v>
      </c>
      <c r="M19" s="39" t="s">
        <v>1475</v>
      </c>
      <c r="O19" s="39" t="s">
        <v>1375</v>
      </c>
    </row>
    <row r="20">
      <c r="A20" s="39" t="s">
        <v>673</v>
      </c>
      <c r="B20" s="39" t="s">
        <v>10</v>
      </c>
      <c r="C20" s="39" t="s">
        <v>64</v>
      </c>
      <c r="D20" s="43" t="s">
        <v>1476</v>
      </c>
      <c r="E20" s="43" t="s">
        <v>1477</v>
      </c>
      <c r="F20" s="39">
        <v>41.391</v>
      </c>
      <c r="G20" s="39">
        <v>42.681</v>
      </c>
      <c r="H20" s="44">
        <v>90.0</v>
      </c>
      <c r="I20" s="45">
        <v>19.0278</v>
      </c>
      <c r="J20" s="45">
        <v>73.06255</v>
      </c>
      <c r="K20" s="45">
        <v>19.02437</v>
      </c>
      <c r="L20" s="45">
        <v>73.07299</v>
      </c>
      <c r="M20" s="39" t="s">
        <v>1478</v>
      </c>
      <c r="O20" s="39" t="s">
        <v>1386</v>
      </c>
    </row>
    <row r="21">
      <c r="A21" s="39" t="s">
        <v>673</v>
      </c>
      <c r="B21" s="39" t="s">
        <v>10</v>
      </c>
      <c r="C21" s="39" t="s">
        <v>64</v>
      </c>
      <c r="D21" s="43" t="s">
        <v>1479</v>
      </c>
      <c r="E21" s="43" t="s">
        <v>1480</v>
      </c>
      <c r="F21" s="39">
        <v>44.856</v>
      </c>
      <c r="G21" s="39">
        <v>45.487</v>
      </c>
      <c r="H21" s="44">
        <v>90.0</v>
      </c>
      <c r="I21" s="45">
        <v>19.01084</v>
      </c>
      <c r="J21" s="45">
        <v>73.0864</v>
      </c>
      <c r="K21" s="45">
        <v>19.00831</v>
      </c>
      <c r="L21" s="45">
        <v>73.09161</v>
      </c>
      <c r="M21" s="39" t="s">
        <v>1478</v>
      </c>
      <c r="O21" s="39" t="s">
        <v>1401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33.25"/>
  </cols>
  <sheetData>
    <row r="1">
      <c r="A1" s="39" t="s">
        <v>377</v>
      </c>
      <c r="B1" s="39" t="s">
        <v>378</v>
      </c>
    </row>
    <row r="2">
      <c r="A2" s="40" t="s">
        <v>1481</v>
      </c>
      <c r="B2" s="39" t="s">
        <v>1186</v>
      </c>
    </row>
    <row r="3">
      <c r="A3" s="40" t="s">
        <v>1482</v>
      </c>
      <c r="B3" s="39" t="s">
        <v>1191</v>
      </c>
    </row>
    <row r="4">
      <c r="A4" s="40" t="s">
        <v>1483</v>
      </c>
      <c r="B4" s="39" t="s">
        <v>1196</v>
      </c>
    </row>
    <row r="5">
      <c r="A5" s="40" t="s">
        <v>1484</v>
      </c>
      <c r="B5" s="39" t="s">
        <v>1203</v>
      </c>
    </row>
    <row r="6">
      <c r="A6" s="40" t="s">
        <v>1485</v>
      </c>
      <c r="B6" s="39" t="s">
        <v>1208</v>
      </c>
    </row>
    <row r="7">
      <c r="A7" s="40" t="s">
        <v>1486</v>
      </c>
      <c r="B7" s="39" t="s">
        <v>1217</v>
      </c>
    </row>
    <row r="8">
      <c r="A8" s="40" t="s">
        <v>1487</v>
      </c>
      <c r="B8" s="39" t="s">
        <v>1231</v>
      </c>
    </row>
    <row r="9">
      <c r="A9" s="40" t="s">
        <v>1488</v>
      </c>
      <c r="B9" s="39" t="s">
        <v>1238</v>
      </c>
    </row>
    <row r="10">
      <c r="A10" s="40" t="s">
        <v>1489</v>
      </c>
      <c r="B10" s="39" t="s">
        <v>1245</v>
      </c>
    </row>
    <row r="11">
      <c r="A11" s="40" t="s">
        <v>1490</v>
      </c>
      <c r="B11" s="39" t="s">
        <v>1254</v>
      </c>
    </row>
    <row r="12">
      <c r="A12" s="40" t="s">
        <v>1491</v>
      </c>
      <c r="B12" s="39" t="s">
        <v>1259</v>
      </c>
    </row>
    <row r="13">
      <c r="A13" s="40" t="s">
        <v>1492</v>
      </c>
      <c r="B13" s="39" t="s">
        <v>1266</v>
      </c>
    </row>
    <row r="14">
      <c r="A14" s="40" t="s">
        <v>1493</v>
      </c>
      <c r="B14" s="39" t="s">
        <v>1273</v>
      </c>
    </row>
    <row r="15">
      <c r="A15" s="40" t="s">
        <v>1494</v>
      </c>
      <c r="B15" s="39" t="s">
        <v>1284</v>
      </c>
    </row>
    <row r="16">
      <c r="A16" s="40" t="s">
        <v>1495</v>
      </c>
      <c r="B16" s="39" t="s">
        <v>1319</v>
      </c>
    </row>
    <row r="17">
      <c r="A17" s="40" t="s">
        <v>1496</v>
      </c>
      <c r="B17" s="39" t="s">
        <v>1325</v>
      </c>
    </row>
    <row r="18">
      <c r="A18" s="40" t="s">
        <v>1497</v>
      </c>
      <c r="B18" s="39" t="s">
        <v>1334</v>
      </c>
    </row>
    <row r="19">
      <c r="A19" s="40" t="s">
        <v>1498</v>
      </c>
      <c r="B19" s="39" t="s">
        <v>1347</v>
      </c>
    </row>
    <row r="20">
      <c r="A20" s="40" t="s">
        <v>1499</v>
      </c>
      <c r="B20" s="39" t="s">
        <v>1355</v>
      </c>
    </row>
    <row r="21">
      <c r="A21" s="40" t="s">
        <v>1500</v>
      </c>
      <c r="B21" s="39" t="s">
        <v>1372</v>
      </c>
    </row>
    <row r="22">
      <c r="A22" s="40" t="s">
        <v>1501</v>
      </c>
      <c r="B22" s="39" t="s">
        <v>1383</v>
      </c>
    </row>
    <row r="23">
      <c r="A23" s="40" t="s">
        <v>1502</v>
      </c>
      <c r="B23" s="39" t="s">
        <v>1396</v>
      </c>
    </row>
    <row r="24">
      <c r="A24" s="40" t="s">
        <v>1503</v>
      </c>
      <c r="B24" s="39" t="s">
        <v>1405</v>
      </c>
    </row>
    <row r="25">
      <c r="A25" s="40" t="s">
        <v>1504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20" t="s">
        <v>1505</v>
      </c>
      <c r="B2" s="39" t="s">
        <v>1344</v>
      </c>
      <c r="C2" s="39" t="s">
        <v>1345</v>
      </c>
      <c r="D2" s="39" t="s">
        <v>1506</v>
      </c>
      <c r="E2" s="39" t="s">
        <v>1507</v>
      </c>
      <c r="F2" s="39" t="s">
        <v>397</v>
      </c>
      <c r="G2" s="39" t="s">
        <v>662</v>
      </c>
      <c r="I2" s="40">
        <v>53.182500000000005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0.0</v>
      </c>
      <c r="W2" s="39">
        <v>1.0</v>
      </c>
      <c r="X2" s="39">
        <v>0.0</v>
      </c>
      <c r="Y2" s="39">
        <v>0.0</v>
      </c>
      <c r="AE2" s="39">
        <v>1.0</v>
      </c>
    </row>
    <row r="3">
      <c r="A3" s="20" t="s">
        <v>1508</v>
      </c>
      <c r="D3" s="39" t="s">
        <v>1506</v>
      </c>
      <c r="E3" s="39" t="s">
        <v>1507</v>
      </c>
      <c r="F3" s="39" t="s">
        <v>397</v>
      </c>
      <c r="G3" s="39" t="s">
        <v>1509</v>
      </c>
      <c r="H3" s="39" t="s">
        <v>1509</v>
      </c>
      <c r="I3" s="40">
        <v>52.642500000000005</v>
      </c>
      <c r="L3" s="39" t="s">
        <v>102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300.0</v>
      </c>
      <c r="AE3" s="39">
        <v>1.0</v>
      </c>
    </row>
    <row r="4">
      <c r="A4" s="20" t="s">
        <v>1510</v>
      </c>
      <c r="D4" s="39" t="s">
        <v>1506</v>
      </c>
      <c r="E4" s="39" t="s">
        <v>1507</v>
      </c>
      <c r="F4" s="39" t="s">
        <v>397</v>
      </c>
      <c r="G4" s="39" t="s">
        <v>1511</v>
      </c>
      <c r="H4" s="39" t="s">
        <v>1511</v>
      </c>
      <c r="I4" s="40">
        <v>52.15050000000001</v>
      </c>
      <c r="L4" s="39" t="s">
        <v>102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250.0</v>
      </c>
      <c r="AE4" s="39">
        <v>1.0</v>
      </c>
    </row>
    <row r="5">
      <c r="A5" s="20" t="s">
        <v>1512</v>
      </c>
      <c r="D5" s="39" t="s">
        <v>1506</v>
      </c>
      <c r="E5" s="39" t="s">
        <v>1507</v>
      </c>
      <c r="F5" s="39" t="s">
        <v>397</v>
      </c>
      <c r="G5" s="39" t="s">
        <v>1513</v>
      </c>
      <c r="H5" s="39" t="s">
        <v>1513</v>
      </c>
      <c r="I5" s="40">
        <v>51.1255</v>
      </c>
      <c r="L5" s="39" t="s">
        <v>102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500.0</v>
      </c>
      <c r="AE5" s="39">
        <v>1.0</v>
      </c>
    </row>
    <row r="6">
      <c r="A6" s="20" t="s">
        <v>1514</v>
      </c>
      <c r="B6" s="39" t="s">
        <v>1335</v>
      </c>
      <c r="C6" s="39" t="s">
        <v>1336</v>
      </c>
      <c r="D6" s="39" t="s">
        <v>1506</v>
      </c>
      <c r="E6" s="39" t="s">
        <v>1507</v>
      </c>
      <c r="F6" s="39" t="s">
        <v>397</v>
      </c>
      <c r="G6" s="39" t="s">
        <v>662</v>
      </c>
      <c r="I6" s="40">
        <v>50.70850000000001</v>
      </c>
      <c r="L6" s="2" t="s">
        <v>66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350.0</v>
      </c>
      <c r="AE6" s="39">
        <v>1.0</v>
      </c>
    </row>
    <row r="7">
      <c r="A7" s="20" t="s">
        <v>1515</v>
      </c>
      <c r="D7" s="39" t="s">
        <v>1506</v>
      </c>
      <c r="E7" s="39" t="s">
        <v>1507</v>
      </c>
      <c r="F7" s="39" t="s">
        <v>397</v>
      </c>
      <c r="G7" s="39" t="s">
        <v>1516</v>
      </c>
      <c r="H7" s="39" t="s">
        <v>1516</v>
      </c>
      <c r="I7" s="40">
        <v>49.9485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300.0</v>
      </c>
      <c r="AE7" s="39">
        <v>1.0</v>
      </c>
    </row>
    <row r="8">
      <c r="A8" s="29" t="s">
        <v>1517</v>
      </c>
      <c r="B8" s="39" t="s">
        <v>1518</v>
      </c>
      <c r="C8" s="39" t="s">
        <v>1519</v>
      </c>
      <c r="D8" s="39" t="s">
        <v>1506</v>
      </c>
      <c r="E8" s="39" t="s">
        <v>1507</v>
      </c>
      <c r="F8" s="39" t="s">
        <v>397</v>
      </c>
      <c r="G8" s="39" t="s">
        <v>1520</v>
      </c>
      <c r="H8" s="39" t="s">
        <v>1520</v>
      </c>
      <c r="I8" s="40">
        <v>48.972500000000004</v>
      </c>
      <c r="L8" s="2" t="s">
        <v>66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400.0</v>
      </c>
      <c r="AE8" s="39">
        <v>1.0</v>
      </c>
    </row>
    <row r="9">
      <c r="A9" s="29" t="s">
        <v>1521</v>
      </c>
      <c r="B9" s="39" t="s">
        <v>1518</v>
      </c>
      <c r="C9" s="39" t="s">
        <v>1519</v>
      </c>
      <c r="D9" s="39" t="s">
        <v>1506</v>
      </c>
      <c r="E9" s="39" t="s">
        <v>1507</v>
      </c>
      <c r="F9" s="39" t="s">
        <v>397</v>
      </c>
      <c r="G9" s="39" t="s">
        <v>662</v>
      </c>
      <c r="I9" s="40">
        <v>48.39450000000001</v>
      </c>
      <c r="L9" s="2" t="s">
        <v>66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1.0</v>
      </c>
      <c r="X9" s="39">
        <v>0.0</v>
      </c>
      <c r="Y9" s="39">
        <v>0.0</v>
      </c>
      <c r="AC9" s="39">
        <v>350.0</v>
      </c>
      <c r="AE9" s="39">
        <v>1.0</v>
      </c>
    </row>
    <row r="10">
      <c r="A10" s="20" t="s">
        <v>1522</v>
      </c>
      <c r="D10" s="39" t="s">
        <v>1506</v>
      </c>
      <c r="E10" s="39" t="s">
        <v>1507</v>
      </c>
      <c r="F10" s="39" t="s">
        <v>397</v>
      </c>
      <c r="G10" s="39" t="s">
        <v>1523</v>
      </c>
      <c r="H10" s="39" t="s">
        <v>1523</v>
      </c>
      <c r="I10" s="40">
        <v>47.30950000000001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300.0</v>
      </c>
      <c r="AE10" s="39">
        <v>1.0</v>
      </c>
    </row>
    <row r="11">
      <c r="A11" s="20" t="s">
        <v>1524</v>
      </c>
      <c r="B11" s="39" t="s">
        <v>1525</v>
      </c>
      <c r="C11" s="39" t="s">
        <v>1526</v>
      </c>
      <c r="D11" s="39" t="s">
        <v>1506</v>
      </c>
      <c r="E11" s="39" t="s">
        <v>1507</v>
      </c>
      <c r="F11" s="39" t="s">
        <v>397</v>
      </c>
      <c r="G11" s="39" t="s">
        <v>1527</v>
      </c>
      <c r="H11" s="39" t="s">
        <v>1527</v>
      </c>
      <c r="I11" s="40">
        <v>46.29950000000001</v>
      </c>
      <c r="L11" s="2" t="s">
        <v>66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1.0</v>
      </c>
      <c r="W11" s="39">
        <v>0.0</v>
      </c>
      <c r="X11" s="39">
        <v>1.0</v>
      </c>
      <c r="Y11" s="39">
        <v>0.0</v>
      </c>
      <c r="Z11" s="30" t="s">
        <v>1528</v>
      </c>
      <c r="AA11" s="30" t="s">
        <v>115</v>
      </c>
      <c r="AC11" s="39">
        <v>200.0</v>
      </c>
      <c r="AE11" s="39">
        <v>1.0</v>
      </c>
    </row>
    <row r="12">
      <c r="A12" s="57" t="s">
        <v>1529</v>
      </c>
      <c r="B12" s="39" t="s">
        <v>1525</v>
      </c>
      <c r="C12" s="39" t="s">
        <v>1526</v>
      </c>
      <c r="D12" s="39" t="s">
        <v>1506</v>
      </c>
      <c r="E12" s="39" t="s">
        <v>1507</v>
      </c>
      <c r="F12" s="39" t="s">
        <v>397</v>
      </c>
      <c r="G12" s="39" t="s">
        <v>662</v>
      </c>
      <c r="I12" s="40">
        <v>45.230500000000006</v>
      </c>
      <c r="L12" s="2" t="s">
        <v>66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1.0</v>
      </c>
      <c r="X12" s="39">
        <v>0.0</v>
      </c>
      <c r="Y12" s="39">
        <v>0.0</v>
      </c>
      <c r="AC12" s="39">
        <v>350.0</v>
      </c>
      <c r="AE12" s="39">
        <v>1.0</v>
      </c>
    </row>
    <row r="13">
      <c r="A13" s="20" t="s">
        <v>1530</v>
      </c>
      <c r="B13" s="39" t="s">
        <v>1525</v>
      </c>
      <c r="C13" s="39" t="s">
        <v>1526</v>
      </c>
      <c r="D13" s="39" t="s">
        <v>1506</v>
      </c>
      <c r="E13" s="39" t="s">
        <v>1507</v>
      </c>
      <c r="F13" s="39" t="s">
        <v>397</v>
      </c>
      <c r="G13" s="39" t="s">
        <v>1531</v>
      </c>
      <c r="H13" s="39" t="s">
        <v>1531</v>
      </c>
      <c r="I13" s="40">
        <v>44.594500000000004</v>
      </c>
      <c r="L13" s="2" t="s">
        <v>66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250.0</v>
      </c>
      <c r="AE13" s="39">
        <v>1.0</v>
      </c>
    </row>
    <row r="14">
      <c r="A14" s="20" t="s">
        <v>1532</v>
      </c>
      <c r="D14" s="39" t="s">
        <v>1506</v>
      </c>
      <c r="E14" s="39" t="s">
        <v>1507</v>
      </c>
      <c r="F14" s="39" t="s">
        <v>397</v>
      </c>
      <c r="G14" s="39" t="s">
        <v>662</v>
      </c>
      <c r="I14" s="40">
        <v>44.04950000000001</v>
      </c>
      <c r="L14" s="39" t="s">
        <v>102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350.0</v>
      </c>
      <c r="AE14" s="39">
        <v>1.0</v>
      </c>
    </row>
    <row r="15">
      <c r="A15" s="20" t="s">
        <v>1533</v>
      </c>
      <c r="D15" s="39" t="s">
        <v>1506</v>
      </c>
      <c r="E15" s="39" t="s">
        <v>1507</v>
      </c>
      <c r="F15" s="39" t="s">
        <v>397</v>
      </c>
      <c r="G15" s="39" t="s">
        <v>1534</v>
      </c>
      <c r="H15" s="39" t="s">
        <v>1534</v>
      </c>
      <c r="I15" s="40">
        <v>43.511500000000005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400.0</v>
      </c>
      <c r="AE15" s="39">
        <v>1.0</v>
      </c>
    </row>
    <row r="16">
      <c r="A16" s="20" t="s">
        <v>1535</v>
      </c>
      <c r="D16" s="39" t="s">
        <v>1506</v>
      </c>
      <c r="E16" s="39" t="s">
        <v>1507</v>
      </c>
      <c r="F16" s="39" t="s">
        <v>397</v>
      </c>
      <c r="G16" s="39" t="s">
        <v>1536</v>
      </c>
      <c r="H16" s="39" t="s">
        <v>1536</v>
      </c>
      <c r="I16" s="40">
        <v>42.593500000000006</v>
      </c>
      <c r="L16" s="39" t="s">
        <v>102</v>
      </c>
      <c r="N16" s="39" t="s">
        <v>67</v>
      </c>
      <c r="O16" s="39" t="s">
        <v>81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350.0</v>
      </c>
      <c r="AE16" s="39">
        <v>1.0</v>
      </c>
    </row>
    <row r="17">
      <c r="A17" s="20" t="s">
        <v>1537</v>
      </c>
      <c r="D17" s="39" t="s">
        <v>1506</v>
      </c>
      <c r="E17" s="39" t="s">
        <v>1507</v>
      </c>
      <c r="F17" s="39" t="s">
        <v>397</v>
      </c>
      <c r="G17" s="39" t="s">
        <v>662</v>
      </c>
      <c r="I17" s="40">
        <v>41.7175</v>
      </c>
      <c r="L17" s="39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400.0</v>
      </c>
      <c r="AE17" s="39">
        <v>1.0</v>
      </c>
    </row>
    <row r="18">
      <c r="A18" s="20" t="s">
        <v>1538</v>
      </c>
      <c r="D18" s="39" t="s">
        <v>1506</v>
      </c>
      <c r="E18" s="39" t="s">
        <v>1507</v>
      </c>
      <c r="F18" s="39" t="s">
        <v>397</v>
      </c>
      <c r="G18" s="39" t="s">
        <v>1539</v>
      </c>
      <c r="H18" s="39" t="s">
        <v>1539</v>
      </c>
      <c r="I18" s="40">
        <v>40.718500000000006</v>
      </c>
      <c r="L18" s="39" t="s">
        <v>102</v>
      </c>
      <c r="N18" s="39" t="s">
        <v>67</v>
      </c>
      <c r="O18" s="39" t="s">
        <v>81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400.0</v>
      </c>
      <c r="AE18" s="39">
        <v>1.0</v>
      </c>
    </row>
    <row r="19">
      <c r="A19" s="20" t="s">
        <v>1540</v>
      </c>
      <c r="D19" s="39" t="s">
        <v>1506</v>
      </c>
      <c r="E19" s="39" t="s">
        <v>1507</v>
      </c>
      <c r="F19" s="39" t="s">
        <v>397</v>
      </c>
      <c r="G19" s="39" t="s">
        <v>1541</v>
      </c>
      <c r="H19" s="39" t="s">
        <v>1541</v>
      </c>
      <c r="I19" s="40">
        <v>39.719500000000004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350.0</v>
      </c>
      <c r="AE19" s="39">
        <v>1.0</v>
      </c>
    </row>
    <row r="20">
      <c r="A20" s="20" t="s">
        <v>1542</v>
      </c>
      <c r="D20" s="39" t="s">
        <v>1506</v>
      </c>
      <c r="E20" s="39" t="s">
        <v>1507</v>
      </c>
      <c r="F20" s="39" t="s">
        <v>397</v>
      </c>
      <c r="G20" s="39" t="s">
        <v>662</v>
      </c>
      <c r="I20" s="40">
        <v>39.2385</v>
      </c>
      <c r="L20" s="39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400.0</v>
      </c>
      <c r="AE20" s="39">
        <v>1.0</v>
      </c>
    </row>
    <row r="21">
      <c r="A21" s="20" t="s">
        <v>1543</v>
      </c>
      <c r="D21" s="39" t="s">
        <v>1506</v>
      </c>
      <c r="E21" s="39" t="s">
        <v>1507</v>
      </c>
      <c r="F21" s="39" t="s">
        <v>397</v>
      </c>
      <c r="G21" s="39" t="s">
        <v>1544</v>
      </c>
      <c r="H21" s="39" t="s">
        <v>1544</v>
      </c>
      <c r="I21" s="40">
        <v>38.3355</v>
      </c>
      <c r="L21" s="39" t="s">
        <v>102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350.0</v>
      </c>
      <c r="AE21" s="39">
        <v>1.0</v>
      </c>
    </row>
    <row r="22">
      <c r="A22" s="20" t="s">
        <v>1545</v>
      </c>
      <c r="D22" s="39" t="s">
        <v>1506</v>
      </c>
      <c r="E22" s="39" t="s">
        <v>1507</v>
      </c>
      <c r="F22" s="39" t="s">
        <v>397</v>
      </c>
      <c r="G22" s="39" t="s">
        <v>1546</v>
      </c>
      <c r="H22" s="39" t="s">
        <v>1546</v>
      </c>
      <c r="I22" s="40">
        <v>37.40050000000001</v>
      </c>
      <c r="L22" s="2" t="s">
        <v>66</v>
      </c>
      <c r="N22" s="39" t="s">
        <v>67</v>
      </c>
      <c r="O22" s="39" t="s">
        <v>81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500.0</v>
      </c>
      <c r="AE22" s="39">
        <v>1.0</v>
      </c>
    </row>
    <row r="23">
      <c r="A23" s="20" t="s">
        <v>1547</v>
      </c>
      <c r="D23" s="39" t="s">
        <v>1506</v>
      </c>
      <c r="E23" s="39" t="s">
        <v>1507</v>
      </c>
      <c r="F23" s="39" t="s">
        <v>397</v>
      </c>
      <c r="G23" s="39" t="s">
        <v>1548</v>
      </c>
      <c r="H23" s="39" t="s">
        <v>1548</v>
      </c>
      <c r="I23" s="40">
        <v>36.654500000000006</v>
      </c>
      <c r="L23" s="2" t="s">
        <v>66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1.0</v>
      </c>
      <c r="W23" s="39">
        <v>1.0</v>
      </c>
      <c r="X23" s="39">
        <v>0.0</v>
      </c>
      <c r="Y23" s="39">
        <v>1.0</v>
      </c>
      <c r="Z23" s="30" t="s">
        <v>1549</v>
      </c>
      <c r="AA23" s="30" t="s">
        <v>97</v>
      </c>
      <c r="AC23" s="39">
        <v>300.0</v>
      </c>
      <c r="AE23" s="39">
        <v>1.0</v>
      </c>
    </row>
    <row r="24">
      <c r="A24" s="20" t="s">
        <v>1550</v>
      </c>
      <c r="D24" s="39" t="s">
        <v>1506</v>
      </c>
      <c r="E24" s="39" t="s">
        <v>1507</v>
      </c>
      <c r="F24" s="39" t="s">
        <v>397</v>
      </c>
      <c r="G24" s="39" t="s">
        <v>1551</v>
      </c>
      <c r="H24" s="39" t="s">
        <v>1551</v>
      </c>
      <c r="I24" s="40">
        <v>35.53450000000001</v>
      </c>
      <c r="L24" s="39" t="s">
        <v>102</v>
      </c>
      <c r="N24" s="39" t="s">
        <v>67</v>
      </c>
      <c r="O24" s="39" t="s">
        <v>67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250.0</v>
      </c>
      <c r="AE24" s="39">
        <v>1.0</v>
      </c>
    </row>
    <row r="25">
      <c r="A25" s="20" t="s">
        <v>1552</v>
      </c>
      <c r="D25" s="39" t="s">
        <v>1506</v>
      </c>
      <c r="E25" s="39" t="s">
        <v>1507</v>
      </c>
      <c r="F25" s="39" t="s">
        <v>397</v>
      </c>
      <c r="G25" s="39" t="s">
        <v>1553</v>
      </c>
      <c r="H25" s="39" t="s">
        <v>1553</v>
      </c>
      <c r="I25" s="40">
        <v>34.9795</v>
      </c>
      <c r="L25" s="39" t="s">
        <v>102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250.0</v>
      </c>
      <c r="AE25" s="39">
        <v>1.0</v>
      </c>
    </row>
    <row r="26">
      <c r="A26" s="20" t="s">
        <v>1554</v>
      </c>
      <c r="B26" s="39" t="s">
        <v>262</v>
      </c>
      <c r="C26" s="39" t="s">
        <v>263</v>
      </c>
      <c r="D26" s="39" t="s">
        <v>1506</v>
      </c>
      <c r="E26" s="39" t="s">
        <v>1507</v>
      </c>
      <c r="F26" s="39" t="s">
        <v>397</v>
      </c>
      <c r="G26" s="39" t="s">
        <v>1555</v>
      </c>
      <c r="H26" s="39" t="s">
        <v>1555</v>
      </c>
      <c r="I26" s="40">
        <v>34.2295</v>
      </c>
      <c r="L26" s="2" t="s">
        <v>66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1.0</v>
      </c>
      <c r="W26" s="39">
        <v>0.0</v>
      </c>
      <c r="X26" s="39">
        <v>0.0</v>
      </c>
      <c r="Y26" s="39">
        <v>1.0</v>
      </c>
      <c r="Z26" s="30" t="s">
        <v>1556</v>
      </c>
      <c r="AA26" s="30" t="s">
        <v>97</v>
      </c>
      <c r="AC26" s="39">
        <v>300.0</v>
      </c>
      <c r="AE26" s="39">
        <v>1.0</v>
      </c>
    </row>
    <row r="27">
      <c r="A27" s="20" t="s">
        <v>1557</v>
      </c>
      <c r="B27" s="39" t="s">
        <v>262</v>
      </c>
      <c r="C27" s="39" t="s">
        <v>263</v>
      </c>
      <c r="D27" s="39" t="s">
        <v>1506</v>
      </c>
      <c r="E27" s="39" t="s">
        <v>1507</v>
      </c>
      <c r="F27" s="39" t="s">
        <v>397</v>
      </c>
      <c r="G27" s="39" t="s">
        <v>144</v>
      </c>
      <c r="I27" s="40">
        <v>33.41250000000001</v>
      </c>
      <c r="L27" s="2" t="s">
        <v>66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1.0</v>
      </c>
      <c r="W27" s="39">
        <v>1.0</v>
      </c>
      <c r="X27" s="39">
        <v>0.0</v>
      </c>
      <c r="Y27" s="39">
        <v>2.0</v>
      </c>
      <c r="Z27" s="30" t="s">
        <v>1558</v>
      </c>
      <c r="AA27" s="30" t="s">
        <v>315</v>
      </c>
      <c r="AE27" s="39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58" t="s">
        <v>1559</v>
      </c>
      <c r="B2" s="39" t="s">
        <v>1507</v>
      </c>
      <c r="C2" s="39" t="s">
        <v>397</v>
      </c>
      <c r="F2" s="58">
        <v>51.66</v>
      </c>
      <c r="G2" s="58">
        <v>51.4</v>
      </c>
      <c r="H2" s="59">
        <v>65.0</v>
      </c>
      <c r="M2" s="58" t="s">
        <v>1560</v>
      </c>
    </row>
    <row r="3">
      <c r="A3" s="58" t="s">
        <v>1559</v>
      </c>
      <c r="B3" s="39" t="s">
        <v>1507</v>
      </c>
      <c r="C3" s="39" t="s">
        <v>397</v>
      </c>
      <c r="F3" s="58">
        <v>50.23</v>
      </c>
      <c r="G3" s="58">
        <v>50.11</v>
      </c>
      <c r="H3" s="59">
        <v>70.0</v>
      </c>
      <c r="M3" s="58" t="s">
        <v>1561</v>
      </c>
    </row>
    <row r="4">
      <c r="A4" s="58" t="s">
        <v>1559</v>
      </c>
      <c r="B4" s="39" t="s">
        <v>1507</v>
      </c>
      <c r="C4" s="39" t="s">
        <v>397</v>
      </c>
      <c r="F4" s="58">
        <v>50.11</v>
      </c>
      <c r="G4" s="58">
        <v>49.71</v>
      </c>
      <c r="H4" s="59">
        <v>60.0</v>
      </c>
      <c r="M4" s="58" t="s">
        <v>1562</v>
      </c>
    </row>
    <row r="5">
      <c r="A5" s="58" t="s">
        <v>1559</v>
      </c>
      <c r="B5" s="39" t="s">
        <v>1507</v>
      </c>
      <c r="C5" s="39" t="s">
        <v>397</v>
      </c>
      <c r="F5" s="58">
        <v>49.71</v>
      </c>
      <c r="G5" s="58">
        <v>49.13</v>
      </c>
      <c r="H5" s="59">
        <v>40.0</v>
      </c>
      <c r="M5" s="58" t="s">
        <v>1563</v>
      </c>
    </row>
    <row r="6">
      <c r="A6" s="58" t="s">
        <v>1559</v>
      </c>
      <c r="B6" s="39" t="s">
        <v>1507</v>
      </c>
      <c r="C6" s="39" t="s">
        <v>397</v>
      </c>
      <c r="F6" s="58">
        <v>48.06</v>
      </c>
      <c r="G6" s="58">
        <v>48.0</v>
      </c>
      <c r="H6" s="59">
        <v>50.0</v>
      </c>
      <c r="M6" s="58" t="s">
        <v>1562</v>
      </c>
    </row>
    <row r="7">
      <c r="A7" s="58" t="s">
        <v>1564</v>
      </c>
      <c r="B7" s="39" t="s">
        <v>1507</v>
      </c>
      <c r="C7" s="39" t="s">
        <v>397</v>
      </c>
      <c r="F7" s="58">
        <v>47.84</v>
      </c>
      <c r="G7" s="58">
        <v>47.81</v>
      </c>
      <c r="H7" s="59">
        <v>50.0</v>
      </c>
      <c r="M7" s="58" t="s">
        <v>1562</v>
      </c>
    </row>
    <row r="8">
      <c r="A8" s="60" t="s">
        <v>1564</v>
      </c>
      <c r="B8" s="39" t="s">
        <v>1507</v>
      </c>
      <c r="C8" s="39" t="s">
        <v>397</v>
      </c>
      <c r="F8" s="60">
        <v>46.48</v>
      </c>
      <c r="G8" s="60">
        <v>46.17</v>
      </c>
      <c r="H8" s="61">
        <v>70.0</v>
      </c>
      <c r="M8" s="60" t="s">
        <v>1565</v>
      </c>
    </row>
    <row r="9">
      <c r="A9" s="60" t="s">
        <v>1564</v>
      </c>
      <c r="B9" s="39" t="s">
        <v>1507</v>
      </c>
      <c r="C9" s="39" t="s">
        <v>397</v>
      </c>
      <c r="F9" s="60">
        <v>44.53</v>
      </c>
      <c r="G9" s="60">
        <v>45.28</v>
      </c>
      <c r="H9" s="61">
        <v>65.0</v>
      </c>
      <c r="M9" s="60" t="s">
        <v>1566</v>
      </c>
    </row>
    <row r="10">
      <c r="A10" s="60" t="s">
        <v>1567</v>
      </c>
      <c r="B10" s="39" t="s">
        <v>1507</v>
      </c>
      <c r="C10" s="39" t="s">
        <v>397</v>
      </c>
      <c r="F10" s="60">
        <v>44.99</v>
      </c>
      <c r="G10" s="60">
        <v>44.87</v>
      </c>
      <c r="H10" s="61">
        <v>55.0</v>
      </c>
      <c r="M10" s="60" t="s">
        <v>1568</v>
      </c>
    </row>
    <row r="11">
      <c r="A11" s="60" t="s">
        <v>1567</v>
      </c>
      <c r="B11" s="39" t="s">
        <v>1507</v>
      </c>
      <c r="C11" s="39" t="s">
        <v>397</v>
      </c>
      <c r="F11" s="60">
        <v>44.84</v>
      </c>
      <c r="G11" s="60">
        <v>44.72</v>
      </c>
      <c r="H11" s="61">
        <v>50.0</v>
      </c>
      <c r="M11" s="60" t="s">
        <v>1569</v>
      </c>
    </row>
    <row r="12">
      <c r="A12" s="60" t="s">
        <v>1567</v>
      </c>
      <c r="B12" s="39" t="s">
        <v>1507</v>
      </c>
      <c r="C12" s="39" t="s">
        <v>397</v>
      </c>
      <c r="F12" s="60">
        <v>44.01</v>
      </c>
      <c r="G12" s="60">
        <v>43.9</v>
      </c>
      <c r="H12" s="61">
        <v>75.0</v>
      </c>
      <c r="M12" s="60" t="s">
        <v>1570</v>
      </c>
    </row>
    <row r="13">
      <c r="A13" s="60" t="s">
        <v>1567</v>
      </c>
      <c r="B13" s="39" t="s">
        <v>1507</v>
      </c>
      <c r="C13" s="39" t="s">
        <v>397</v>
      </c>
      <c r="F13" s="60">
        <v>43.86</v>
      </c>
      <c r="G13" s="60">
        <v>43.76</v>
      </c>
      <c r="H13" s="61">
        <v>75.0</v>
      </c>
      <c r="M13" s="60" t="s">
        <v>1571</v>
      </c>
    </row>
    <row r="14">
      <c r="A14" s="60" t="s">
        <v>1572</v>
      </c>
      <c r="B14" s="39" t="s">
        <v>1507</v>
      </c>
      <c r="C14" s="39" t="s">
        <v>397</v>
      </c>
      <c r="F14" s="60">
        <v>42.43</v>
      </c>
      <c r="G14" s="60">
        <v>42.09</v>
      </c>
      <c r="H14" s="61">
        <v>50.0</v>
      </c>
      <c r="M14" s="60" t="s">
        <v>1573</v>
      </c>
    </row>
    <row r="15">
      <c r="A15" s="60" t="s">
        <v>1567</v>
      </c>
      <c r="B15" s="39" t="s">
        <v>1507</v>
      </c>
      <c r="C15" s="39" t="s">
        <v>397</v>
      </c>
      <c r="F15" s="60">
        <v>42.28</v>
      </c>
      <c r="G15" s="60">
        <v>42.15</v>
      </c>
      <c r="H15" s="61">
        <v>55.0</v>
      </c>
      <c r="M15" s="60" t="s">
        <v>1574</v>
      </c>
    </row>
    <row r="16">
      <c r="A16" s="60" t="s">
        <v>1567</v>
      </c>
      <c r="B16" s="39" t="s">
        <v>1507</v>
      </c>
      <c r="C16" s="39" t="s">
        <v>397</v>
      </c>
      <c r="F16" s="60">
        <v>41.01</v>
      </c>
      <c r="G16" s="60">
        <v>40.92</v>
      </c>
      <c r="H16" s="61">
        <v>70.0</v>
      </c>
      <c r="M16" s="60" t="s">
        <v>1575</v>
      </c>
    </row>
    <row r="17">
      <c r="A17" s="60" t="s">
        <v>1576</v>
      </c>
      <c r="B17" s="39" t="s">
        <v>1507</v>
      </c>
      <c r="C17" s="39" t="s">
        <v>397</v>
      </c>
      <c r="F17" s="60">
        <v>35.37</v>
      </c>
      <c r="G17" s="60">
        <v>35.03</v>
      </c>
      <c r="H17" s="61">
        <v>20.0</v>
      </c>
      <c r="M17" s="60" t="s">
        <v>1577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39" t="s">
        <v>377</v>
      </c>
      <c r="B1" s="39" t="s">
        <v>378</v>
      </c>
    </row>
    <row r="2">
      <c r="A2" s="62" t="s">
        <v>1578</v>
      </c>
      <c r="B2" s="39" t="s">
        <v>1579</v>
      </c>
    </row>
    <row r="3">
      <c r="A3" s="39" t="s">
        <v>1580</v>
      </c>
      <c r="B3" s="39" t="s">
        <v>1514</v>
      </c>
    </row>
    <row r="4">
      <c r="A4" s="39" t="s">
        <v>1581</v>
      </c>
      <c r="B4" s="39" t="s">
        <v>1521</v>
      </c>
    </row>
    <row r="5">
      <c r="A5" s="39" t="s">
        <v>1582</v>
      </c>
      <c r="B5" s="39" t="s">
        <v>1529</v>
      </c>
    </row>
    <row r="6">
      <c r="A6" s="39" t="s">
        <v>1583</v>
      </c>
      <c r="B6" s="39" t="s">
        <v>1584</v>
      </c>
    </row>
    <row r="7">
      <c r="A7" s="39" t="s">
        <v>1585</v>
      </c>
      <c r="B7" s="39" t="s">
        <v>1586</v>
      </c>
    </row>
    <row r="8">
      <c r="A8" s="39" t="s">
        <v>1587</v>
      </c>
      <c r="B8" s="39" t="s">
        <v>1588</v>
      </c>
    </row>
    <row r="9">
      <c r="A9" s="39" t="s">
        <v>1589</v>
      </c>
      <c r="B9" s="39" t="s">
        <v>1547</v>
      </c>
    </row>
    <row r="10">
      <c r="A10" s="39" t="s">
        <v>1590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40" t="s">
        <v>1591</v>
      </c>
      <c r="B2" s="39" t="s">
        <v>262</v>
      </c>
      <c r="C2" s="39" t="s">
        <v>263</v>
      </c>
      <c r="D2" s="39" t="s">
        <v>1592</v>
      </c>
      <c r="E2" s="39" t="s">
        <v>1507</v>
      </c>
      <c r="F2" s="39" t="s">
        <v>64</v>
      </c>
      <c r="G2" s="39" t="s">
        <v>1593</v>
      </c>
      <c r="I2" s="40">
        <v>33.023</v>
      </c>
      <c r="L2" s="40" t="s">
        <v>66</v>
      </c>
      <c r="N2" s="39" t="s">
        <v>67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0.0</v>
      </c>
      <c r="W2" s="39">
        <v>0.0</v>
      </c>
      <c r="X2" s="39">
        <v>0.0</v>
      </c>
      <c r="Y2" s="39">
        <v>0.0</v>
      </c>
      <c r="AE2" s="39">
        <v>1.0</v>
      </c>
    </row>
    <row r="3">
      <c r="A3" s="40" t="s">
        <v>1594</v>
      </c>
      <c r="D3" s="39" t="s">
        <v>1592</v>
      </c>
      <c r="E3" s="39" t="s">
        <v>1507</v>
      </c>
      <c r="F3" s="39" t="s">
        <v>64</v>
      </c>
      <c r="G3" s="39" t="s">
        <v>1595</v>
      </c>
      <c r="H3" s="39" t="s">
        <v>1595</v>
      </c>
      <c r="I3" s="40">
        <v>33.559000000000005</v>
      </c>
      <c r="L3" s="39" t="s">
        <v>102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300.0</v>
      </c>
      <c r="AE3" s="39">
        <v>1.0</v>
      </c>
    </row>
    <row r="4">
      <c r="A4" s="40" t="s">
        <v>1596</v>
      </c>
      <c r="B4" s="39" t="s">
        <v>1597</v>
      </c>
      <c r="C4" s="39" t="s">
        <v>1598</v>
      </c>
      <c r="D4" s="39" t="s">
        <v>1592</v>
      </c>
      <c r="E4" s="39" t="s">
        <v>1507</v>
      </c>
      <c r="F4" s="39" t="s">
        <v>64</v>
      </c>
      <c r="G4" s="39" t="s">
        <v>1349</v>
      </c>
      <c r="H4" s="39" t="s">
        <v>1349</v>
      </c>
      <c r="I4" s="40">
        <v>34.481</v>
      </c>
      <c r="L4" s="40" t="s">
        <v>66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300.0</v>
      </c>
      <c r="AE4" s="39">
        <v>1.0</v>
      </c>
    </row>
    <row r="5">
      <c r="A5" s="40" t="s">
        <v>1599</v>
      </c>
      <c r="B5" s="39" t="s">
        <v>1597</v>
      </c>
      <c r="C5" s="39" t="s">
        <v>1598</v>
      </c>
      <c r="D5" s="39" t="s">
        <v>1592</v>
      </c>
      <c r="E5" s="39" t="s">
        <v>1507</v>
      </c>
      <c r="F5" s="39" t="s">
        <v>64</v>
      </c>
      <c r="G5" s="39" t="s">
        <v>1600</v>
      </c>
      <c r="H5" s="39" t="s">
        <v>1600</v>
      </c>
      <c r="I5" s="40">
        <v>35.269000000000005</v>
      </c>
      <c r="L5" s="40" t="s">
        <v>66</v>
      </c>
      <c r="N5" s="39" t="s">
        <v>67</v>
      </c>
      <c r="O5" s="39" t="s">
        <v>81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1.0</v>
      </c>
      <c r="X5" s="39">
        <v>0.0</v>
      </c>
      <c r="Y5" s="39">
        <v>0.0</v>
      </c>
      <c r="AC5" s="39">
        <v>200.0</v>
      </c>
      <c r="AE5" s="39">
        <v>1.0</v>
      </c>
    </row>
    <row r="6">
      <c r="A6" s="40" t="s">
        <v>1601</v>
      </c>
      <c r="B6" s="39" t="s">
        <v>1597</v>
      </c>
      <c r="C6" s="39" t="s">
        <v>1598</v>
      </c>
      <c r="D6" s="39" t="s">
        <v>1592</v>
      </c>
      <c r="E6" s="39" t="s">
        <v>1507</v>
      </c>
      <c r="F6" s="39" t="s">
        <v>64</v>
      </c>
      <c r="G6" s="39" t="s">
        <v>1602</v>
      </c>
      <c r="H6" s="39" t="s">
        <v>1602</v>
      </c>
      <c r="I6" s="40">
        <v>35.900000000000006</v>
      </c>
      <c r="L6" s="40" t="s">
        <v>66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250.0</v>
      </c>
      <c r="AE6" s="39">
        <v>1.0</v>
      </c>
    </row>
    <row r="7">
      <c r="A7" s="40" t="s">
        <v>1603</v>
      </c>
      <c r="D7" s="39" t="s">
        <v>1592</v>
      </c>
      <c r="E7" s="39" t="s">
        <v>1507</v>
      </c>
      <c r="F7" s="39" t="s">
        <v>64</v>
      </c>
      <c r="G7" s="39" t="s">
        <v>1604</v>
      </c>
      <c r="H7" s="39" t="s">
        <v>1604</v>
      </c>
      <c r="I7" s="40">
        <v>36.332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350.0</v>
      </c>
      <c r="AE7" s="39">
        <v>1.0</v>
      </c>
    </row>
    <row r="8">
      <c r="A8" s="40" t="s">
        <v>1605</v>
      </c>
      <c r="D8" s="39" t="s">
        <v>1592</v>
      </c>
      <c r="E8" s="39" t="s">
        <v>1507</v>
      </c>
      <c r="F8" s="39" t="s">
        <v>64</v>
      </c>
      <c r="G8" s="39" t="s">
        <v>1606</v>
      </c>
      <c r="H8" s="39" t="s">
        <v>1606</v>
      </c>
      <c r="I8" s="40">
        <v>37.3355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400.0</v>
      </c>
      <c r="AE8" s="39">
        <v>1.0</v>
      </c>
    </row>
    <row r="9">
      <c r="A9" s="40" t="s">
        <v>1607</v>
      </c>
      <c r="D9" s="39" t="s">
        <v>1592</v>
      </c>
      <c r="E9" s="39" t="s">
        <v>1507</v>
      </c>
      <c r="F9" s="39" t="s">
        <v>64</v>
      </c>
      <c r="G9" s="39" t="s">
        <v>1608</v>
      </c>
      <c r="H9" s="39" t="s">
        <v>1608</v>
      </c>
      <c r="I9" s="40">
        <v>38.23350000000001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500.0</v>
      </c>
      <c r="AE9" s="39">
        <v>1.0</v>
      </c>
    </row>
    <row r="10">
      <c r="A10" s="40" t="s">
        <v>1609</v>
      </c>
      <c r="D10" s="39" t="s">
        <v>1592</v>
      </c>
      <c r="E10" s="39" t="s">
        <v>1507</v>
      </c>
      <c r="F10" s="39" t="s">
        <v>64</v>
      </c>
      <c r="G10" s="39" t="s">
        <v>657</v>
      </c>
      <c r="I10" s="40">
        <v>38.9305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550.0</v>
      </c>
      <c r="AE10" s="39">
        <v>1.0</v>
      </c>
    </row>
    <row r="11">
      <c r="A11" s="40" t="s">
        <v>1610</v>
      </c>
      <c r="D11" s="39" t="s">
        <v>1592</v>
      </c>
      <c r="E11" s="39" t="s">
        <v>1507</v>
      </c>
      <c r="F11" s="39" t="s">
        <v>64</v>
      </c>
      <c r="G11" s="39" t="s">
        <v>1611</v>
      </c>
      <c r="H11" s="39" t="s">
        <v>1611</v>
      </c>
      <c r="I11" s="40">
        <v>39.9885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400.0</v>
      </c>
      <c r="AE11" s="39">
        <v>1.0</v>
      </c>
    </row>
    <row r="12">
      <c r="A12" s="40" t="s">
        <v>1612</v>
      </c>
      <c r="D12" s="39" t="s">
        <v>1592</v>
      </c>
      <c r="E12" s="39" t="s">
        <v>1507</v>
      </c>
      <c r="F12" s="39" t="s">
        <v>64</v>
      </c>
      <c r="G12" s="39" t="s">
        <v>1613</v>
      </c>
      <c r="H12" s="39" t="s">
        <v>1613</v>
      </c>
      <c r="I12" s="40">
        <v>40.929500000000004</v>
      </c>
      <c r="L12" s="39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350.0</v>
      </c>
      <c r="AE12" s="39">
        <v>1.0</v>
      </c>
    </row>
    <row r="13">
      <c r="A13" s="40" t="s">
        <v>1614</v>
      </c>
      <c r="D13" s="39" t="s">
        <v>1592</v>
      </c>
      <c r="E13" s="39" t="s">
        <v>1507</v>
      </c>
      <c r="F13" s="39" t="s">
        <v>64</v>
      </c>
      <c r="G13" s="39" t="s">
        <v>1615</v>
      </c>
      <c r="H13" s="39" t="s">
        <v>1615</v>
      </c>
      <c r="I13" s="40">
        <v>41.975500000000004</v>
      </c>
      <c r="L13" s="39" t="s">
        <v>102</v>
      </c>
      <c r="N13" s="39" t="s">
        <v>67</v>
      </c>
      <c r="O13" s="39" t="s">
        <v>67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250.0</v>
      </c>
      <c r="AE13" s="39">
        <v>1.0</v>
      </c>
    </row>
    <row r="14">
      <c r="A14" s="40" t="s">
        <v>1616</v>
      </c>
      <c r="D14" s="39" t="s">
        <v>1592</v>
      </c>
      <c r="E14" s="39" t="s">
        <v>1507</v>
      </c>
      <c r="F14" s="39" t="s">
        <v>64</v>
      </c>
      <c r="G14" s="39" t="s">
        <v>1617</v>
      </c>
      <c r="H14" s="39" t="s">
        <v>1617</v>
      </c>
      <c r="I14" s="40">
        <v>43.026500000000006</v>
      </c>
      <c r="L14" s="39" t="s">
        <v>102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300.0</v>
      </c>
      <c r="AE14" s="39">
        <v>1.0</v>
      </c>
    </row>
    <row r="15">
      <c r="A15" s="40" t="s">
        <v>1618</v>
      </c>
      <c r="D15" s="39" t="s">
        <v>1592</v>
      </c>
      <c r="E15" s="39" t="s">
        <v>1507</v>
      </c>
      <c r="F15" s="39" t="s">
        <v>64</v>
      </c>
      <c r="G15" s="39" t="s">
        <v>657</v>
      </c>
      <c r="I15" s="40">
        <v>43.746500000000005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400.0</v>
      </c>
      <c r="AE15" s="39">
        <v>1.0</v>
      </c>
    </row>
    <row r="16">
      <c r="A16" s="40" t="s">
        <v>1619</v>
      </c>
      <c r="B16" s="39" t="s">
        <v>1525</v>
      </c>
      <c r="C16" s="39" t="s">
        <v>1526</v>
      </c>
      <c r="D16" s="39" t="s">
        <v>1592</v>
      </c>
      <c r="E16" s="39" t="s">
        <v>1507</v>
      </c>
      <c r="F16" s="39" t="s">
        <v>64</v>
      </c>
      <c r="G16" s="39" t="s">
        <v>1620</v>
      </c>
      <c r="H16" s="39" t="s">
        <v>1620</v>
      </c>
      <c r="I16" s="40">
        <v>44.319500000000005</v>
      </c>
      <c r="L16" s="40" t="s">
        <v>66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1.0</v>
      </c>
      <c r="W16" s="39">
        <v>0.0</v>
      </c>
      <c r="X16" s="39">
        <v>0.0</v>
      </c>
      <c r="Y16" s="39">
        <v>1.0</v>
      </c>
      <c r="Z16" s="39" t="s">
        <v>1100</v>
      </c>
      <c r="AA16" s="39" t="s">
        <v>97</v>
      </c>
      <c r="AC16" s="39">
        <v>250.0</v>
      </c>
      <c r="AE16" s="39">
        <v>1.0</v>
      </c>
    </row>
    <row r="17">
      <c r="A17" s="40" t="s">
        <v>1621</v>
      </c>
      <c r="B17" s="39" t="s">
        <v>1525</v>
      </c>
      <c r="C17" s="39" t="s">
        <v>1526</v>
      </c>
      <c r="D17" s="39" t="s">
        <v>1592</v>
      </c>
      <c r="E17" s="39" t="s">
        <v>1507</v>
      </c>
      <c r="F17" s="39" t="s">
        <v>64</v>
      </c>
      <c r="G17" s="39" t="s">
        <v>657</v>
      </c>
      <c r="I17" s="40">
        <v>45.2595</v>
      </c>
      <c r="L17" s="40" t="s">
        <v>66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1.0</v>
      </c>
      <c r="X17" s="39">
        <v>0.0</v>
      </c>
      <c r="Y17" s="39">
        <v>0.0</v>
      </c>
      <c r="AC17" s="39">
        <v>250.0</v>
      </c>
      <c r="AE17" s="39">
        <v>1.0</v>
      </c>
    </row>
    <row r="18">
      <c r="A18" s="40" t="s">
        <v>1622</v>
      </c>
      <c r="D18" s="39" t="s">
        <v>1592</v>
      </c>
      <c r="E18" s="39" t="s">
        <v>1507</v>
      </c>
      <c r="F18" s="39" t="s">
        <v>64</v>
      </c>
      <c r="G18" s="39" t="s">
        <v>1623</v>
      </c>
      <c r="H18" s="39" t="s">
        <v>1623</v>
      </c>
      <c r="I18" s="40">
        <v>46.2665</v>
      </c>
      <c r="L18" s="39" t="s">
        <v>102</v>
      </c>
      <c r="N18" s="39" t="s">
        <v>67</v>
      </c>
      <c r="O18" s="39" t="s">
        <v>81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300.0</v>
      </c>
      <c r="AE18" s="39">
        <v>1.0</v>
      </c>
    </row>
    <row r="19">
      <c r="A19" s="40" t="s">
        <v>1624</v>
      </c>
      <c r="D19" s="39" t="s">
        <v>1592</v>
      </c>
      <c r="E19" s="39" t="s">
        <v>1507</v>
      </c>
      <c r="F19" s="39" t="s">
        <v>64</v>
      </c>
      <c r="G19" s="39" t="s">
        <v>1625</v>
      </c>
      <c r="H19" s="39" t="s">
        <v>1625</v>
      </c>
      <c r="I19" s="40">
        <v>47.060500000000005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350.0</v>
      </c>
      <c r="AE19" s="39">
        <v>1.0</v>
      </c>
    </row>
    <row r="20">
      <c r="A20" s="39" t="s">
        <v>1626</v>
      </c>
      <c r="B20" s="39" t="s">
        <v>1518</v>
      </c>
      <c r="C20" s="39" t="s">
        <v>1519</v>
      </c>
      <c r="D20" s="39" t="s">
        <v>1592</v>
      </c>
      <c r="E20" s="39" t="s">
        <v>1507</v>
      </c>
      <c r="F20" s="39" t="s">
        <v>64</v>
      </c>
      <c r="G20" s="39" t="s">
        <v>1627</v>
      </c>
      <c r="H20" s="39" t="s">
        <v>1627</v>
      </c>
      <c r="I20" s="40">
        <v>47.5095</v>
      </c>
      <c r="L20" s="40" t="s">
        <v>66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1.0</v>
      </c>
      <c r="W20" s="39">
        <v>0.0</v>
      </c>
      <c r="X20" s="39">
        <v>0.0</v>
      </c>
      <c r="Y20" s="39">
        <v>1.0</v>
      </c>
      <c r="Z20" s="39" t="s">
        <v>1006</v>
      </c>
      <c r="AA20" s="39" t="s">
        <v>97</v>
      </c>
      <c r="AC20" s="39">
        <v>300.0</v>
      </c>
      <c r="AE20" s="39">
        <v>1.0</v>
      </c>
    </row>
    <row r="21">
      <c r="A21" s="39" t="s">
        <v>1628</v>
      </c>
      <c r="B21" s="39" t="s">
        <v>1518</v>
      </c>
      <c r="C21" s="39" t="s">
        <v>1519</v>
      </c>
      <c r="D21" s="39" t="s">
        <v>1592</v>
      </c>
      <c r="E21" s="39" t="s">
        <v>1507</v>
      </c>
      <c r="F21" s="39" t="s">
        <v>64</v>
      </c>
      <c r="G21" s="39" t="s">
        <v>65</v>
      </c>
      <c r="L21" s="39" t="s">
        <v>66</v>
      </c>
      <c r="AE21" s="39">
        <v>1.0</v>
      </c>
    </row>
    <row r="22">
      <c r="A22" s="39" t="s">
        <v>1629</v>
      </c>
      <c r="D22" s="39" t="s">
        <v>1592</v>
      </c>
      <c r="E22" s="39" t="s">
        <v>1507</v>
      </c>
      <c r="F22" s="39" t="s">
        <v>64</v>
      </c>
      <c r="G22" s="39" t="s">
        <v>1630</v>
      </c>
      <c r="H22" s="39" t="s">
        <v>1630</v>
      </c>
      <c r="L22" s="39" t="s">
        <v>102</v>
      </c>
      <c r="AE22" s="39">
        <v>1.0</v>
      </c>
    </row>
    <row r="23">
      <c r="A23" s="39" t="s">
        <v>1631</v>
      </c>
      <c r="D23" s="39" t="s">
        <v>1592</v>
      </c>
      <c r="E23" s="39" t="s">
        <v>1507</v>
      </c>
      <c r="F23" s="39" t="s">
        <v>64</v>
      </c>
      <c r="G23" s="39" t="s">
        <v>1632</v>
      </c>
      <c r="H23" s="39" t="s">
        <v>1632</v>
      </c>
      <c r="L23" s="39" t="s">
        <v>102</v>
      </c>
      <c r="AE23" s="39">
        <v>1.0</v>
      </c>
    </row>
    <row r="24">
      <c r="A24" s="39" t="s">
        <v>1633</v>
      </c>
      <c r="B24" s="39" t="s">
        <v>1316</v>
      </c>
      <c r="C24" s="39" t="s">
        <v>1317</v>
      </c>
      <c r="D24" s="39" t="s">
        <v>1592</v>
      </c>
      <c r="E24" s="39" t="s">
        <v>1507</v>
      </c>
      <c r="F24" s="39" t="s">
        <v>64</v>
      </c>
      <c r="G24" s="39" t="s">
        <v>1634</v>
      </c>
      <c r="H24" s="39" t="s">
        <v>1634</v>
      </c>
      <c r="L24" s="39" t="s">
        <v>66</v>
      </c>
      <c r="AE24" s="39">
        <v>1.0</v>
      </c>
    </row>
    <row r="25">
      <c r="A25" s="39" t="s">
        <v>1635</v>
      </c>
      <c r="B25" s="39" t="s">
        <v>1316</v>
      </c>
      <c r="C25" s="39" t="s">
        <v>1317</v>
      </c>
      <c r="D25" s="39" t="s">
        <v>1592</v>
      </c>
      <c r="E25" s="39" t="s">
        <v>1507</v>
      </c>
      <c r="F25" s="39" t="s">
        <v>64</v>
      </c>
      <c r="G25" s="39" t="s">
        <v>662</v>
      </c>
      <c r="L25" s="39" t="s">
        <v>66</v>
      </c>
      <c r="AE25" s="39">
        <v>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1592</v>
      </c>
      <c r="B2" s="39" t="s">
        <v>1507</v>
      </c>
      <c r="C2" s="39" t="s">
        <v>64</v>
      </c>
      <c r="F2" s="40">
        <v>35.06</v>
      </c>
      <c r="G2" s="40">
        <v>35.24</v>
      </c>
      <c r="H2" s="40">
        <v>20.0</v>
      </c>
      <c r="I2" s="63">
        <v>19.1905</v>
      </c>
      <c r="J2" s="63">
        <v>72.99381</v>
      </c>
      <c r="K2" s="63">
        <v>19.18539</v>
      </c>
      <c r="L2" s="63">
        <v>72.99571</v>
      </c>
      <c r="M2" s="40" t="s">
        <v>1437</v>
      </c>
      <c r="O2" s="39" t="s">
        <v>1599</v>
      </c>
    </row>
    <row r="3">
      <c r="A3" s="39" t="s">
        <v>1592</v>
      </c>
      <c r="B3" s="39" t="s">
        <v>1507</v>
      </c>
      <c r="C3" s="39" t="s">
        <v>64</v>
      </c>
      <c r="F3" s="40">
        <v>37.14</v>
      </c>
      <c r="G3" s="40">
        <v>37.52</v>
      </c>
      <c r="H3" s="40">
        <v>75.0</v>
      </c>
      <c r="I3" s="63">
        <v>19.1736</v>
      </c>
      <c r="J3" s="63">
        <v>72.99688</v>
      </c>
      <c r="K3" s="63">
        <v>19.16766</v>
      </c>
      <c r="L3" s="63">
        <v>72.99916</v>
      </c>
      <c r="M3" s="40" t="s">
        <v>1636</v>
      </c>
      <c r="O3" s="39" t="s">
        <v>1605</v>
      </c>
    </row>
    <row r="4">
      <c r="A4" s="39" t="s">
        <v>1592</v>
      </c>
      <c r="B4" s="39" t="s">
        <v>1507</v>
      </c>
      <c r="C4" s="39" t="s">
        <v>64</v>
      </c>
      <c r="F4" s="40">
        <v>40.0</v>
      </c>
      <c r="G4" s="40">
        <v>40.34</v>
      </c>
      <c r="H4" s="40">
        <v>75.0</v>
      </c>
      <c r="I4" s="63">
        <v>19.14832</v>
      </c>
      <c r="J4" s="63">
        <v>73.00027</v>
      </c>
      <c r="K4" s="63">
        <v>19.14278</v>
      </c>
      <c r="L4" s="63">
        <v>73.00205</v>
      </c>
      <c r="M4" s="40" t="s">
        <v>1637</v>
      </c>
      <c r="O4" s="39" t="s">
        <v>1612</v>
      </c>
    </row>
    <row r="5">
      <c r="A5" s="39" t="s">
        <v>1592</v>
      </c>
      <c r="B5" s="39" t="s">
        <v>1507</v>
      </c>
      <c r="C5" s="39" t="s">
        <v>64</v>
      </c>
      <c r="F5" s="40">
        <v>41.85</v>
      </c>
      <c r="G5" s="40">
        <v>42.11</v>
      </c>
      <c r="H5" s="40">
        <v>75.0</v>
      </c>
      <c r="I5" s="63">
        <v>19.13208</v>
      </c>
      <c r="J5" s="63">
        <v>73.00326</v>
      </c>
      <c r="K5" s="63">
        <v>19.12701</v>
      </c>
      <c r="L5" s="63">
        <v>73.00398</v>
      </c>
      <c r="M5" s="40" t="s">
        <v>1638</v>
      </c>
      <c r="O5" s="39" t="s">
        <v>1614</v>
      </c>
    </row>
    <row r="6">
      <c r="A6" s="39" t="s">
        <v>1592</v>
      </c>
      <c r="B6" s="39" t="s">
        <v>1507</v>
      </c>
      <c r="C6" s="39" t="s">
        <v>64</v>
      </c>
      <c r="F6" s="40">
        <v>44.36</v>
      </c>
      <c r="G6" s="40">
        <v>45.02</v>
      </c>
      <c r="H6" s="40">
        <v>50.0</v>
      </c>
      <c r="I6" s="63">
        <v>19.10708</v>
      </c>
      <c r="J6" s="63">
        <v>73.0104</v>
      </c>
      <c r="K6" s="63">
        <v>19.10207</v>
      </c>
      <c r="L6" s="63">
        <v>73.01179</v>
      </c>
      <c r="M6" s="40" t="s">
        <v>1639</v>
      </c>
      <c r="O6" s="39" t="s">
        <v>1621</v>
      </c>
    </row>
    <row r="7">
      <c r="A7" s="39" t="s">
        <v>1592</v>
      </c>
      <c r="B7" s="39" t="s">
        <v>1507</v>
      </c>
      <c r="C7" s="39" t="s">
        <v>64</v>
      </c>
      <c r="F7" s="40">
        <v>45.28</v>
      </c>
      <c r="G7" s="40">
        <v>45.49</v>
      </c>
      <c r="H7" s="40">
        <v>70.0</v>
      </c>
      <c r="I7" s="63">
        <v>19.10203</v>
      </c>
      <c r="J7" s="63">
        <v>73.01181</v>
      </c>
      <c r="K7" s="63">
        <v>19.09766</v>
      </c>
      <c r="L7" s="63">
        <v>73.01457</v>
      </c>
      <c r="M7" s="40" t="s">
        <v>1565</v>
      </c>
      <c r="O7" s="39" t="s">
        <v>1622</v>
      </c>
    </row>
    <row r="8">
      <c r="A8" s="39" t="s">
        <v>1592</v>
      </c>
      <c r="B8" s="39" t="s">
        <v>1507</v>
      </c>
      <c r="C8" s="39" t="s">
        <v>64</v>
      </c>
      <c r="H8" s="39">
        <v>65.0</v>
      </c>
      <c r="O8" s="39" t="s">
        <v>1628</v>
      </c>
    </row>
    <row r="9">
      <c r="A9" s="39" t="s">
        <v>1592</v>
      </c>
      <c r="B9" s="39" t="s">
        <v>1507</v>
      </c>
      <c r="C9" s="39" t="s">
        <v>64</v>
      </c>
      <c r="H9" s="39">
        <v>40.0</v>
      </c>
      <c r="O9" s="39" t="s">
        <v>1629</v>
      </c>
    </row>
    <row r="10">
      <c r="A10" s="39" t="s">
        <v>1592</v>
      </c>
      <c r="B10" s="39" t="s">
        <v>1507</v>
      </c>
      <c r="C10" s="39" t="s">
        <v>64</v>
      </c>
      <c r="H10" s="39">
        <v>30.0</v>
      </c>
      <c r="O10" s="39" t="s">
        <v>1631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39" t="s">
        <v>377</v>
      </c>
      <c r="B1" s="39" t="s">
        <v>378</v>
      </c>
    </row>
    <row r="2">
      <c r="A2" s="39" t="s">
        <v>1590</v>
      </c>
      <c r="B2" s="39" t="s">
        <v>1640</v>
      </c>
    </row>
    <row r="3">
      <c r="A3" s="39" t="s">
        <v>1641</v>
      </c>
      <c r="B3" s="39" t="s">
        <v>1642</v>
      </c>
    </row>
    <row r="4">
      <c r="A4" s="39" t="s">
        <v>1587</v>
      </c>
      <c r="B4" s="39" t="s">
        <v>1643</v>
      </c>
    </row>
    <row r="5">
      <c r="A5" s="39" t="s">
        <v>1585</v>
      </c>
      <c r="B5" s="39" t="s">
        <v>1644</v>
      </c>
    </row>
    <row r="6">
      <c r="A6" s="39" t="s">
        <v>1583</v>
      </c>
      <c r="B6" s="39" t="s">
        <v>1645</v>
      </c>
    </row>
    <row r="7">
      <c r="A7" s="39" t="s">
        <v>1582</v>
      </c>
      <c r="B7" s="39" t="s">
        <v>1621</v>
      </c>
    </row>
    <row r="8">
      <c r="A8" s="39" t="s">
        <v>1581</v>
      </c>
      <c r="B8" s="39" t="s">
        <v>1646</v>
      </c>
    </row>
    <row r="9">
      <c r="A9" s="39" t="s">
        <v>1647</v>
      </c>
      <c r="B9" s="39" t="s">
        <v>1633</v>
      </c>
    </row>
    <row r="10">
      <c r="A10" s="39" t="s">
        <v>1648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64" t="s">
        <v>1591</v>
      </c>
      <c r="B2" s="39" t="s">
        <v>262</v>
      </c>
      <c r="C2" s="39" t="s">
        <v>263</v>
      </c>
      <c r="D2" s="39" t="s">
        <v>1649</v>
      </c>
      <c r="E2" s="39" t="s">
        <v>1507</v>
      </c>
      <c r="F2" s="39" t="s">
        <v>64</v>
      </c>
      <c r="G2" s="39" t="s">
        <v>1593</v>
      </c>
      <c r="I2" s="40">
        <v>33.023</v>
      </c>
      <c r="L2" s="2" t="s">
        <v>66</v>
      </c>
      <c r="N2" s="39" t="s">
        <v>67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0.0</v>
      </c>
      <c r="W2" s="39">
        <v>0.0</v>
      </c>
      <c r="X2" s="39">
        <v>0.0</v>
      </c>
      <c r="Y2" s="39">
        <v>0.0</v>
      </c>
      <c r="AE2" s="39">
        <v>1.0</v>
      </c>
    </row>
    <row r="3">
      <c r="A3" s="64" t="s">
        <v>1594</v>
      </c>
      <c r="D3" s="39" t="s">
        <v>1649</v>
      </c>
      <c r="E3" s="39" t="s">
        <v>1507</v>
      </c>
      <c r="F3" s="39" t="s">
        <v>64</v>
      </c>
      <c r="G3" s="39" t="s">
        <v>1595</v>
      </c>
      <c r="H3" s="39" t="s">
        <v>1595</v>
      </c>
      <c r="I3" s="40">
        <v>33.559000000000005</v>
      </c>
      <c r="L3" s="39" t="s">
        <v>102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300.0</v>
      </c>
      <c r="AE3" s="39">
        <v>1.0</v>
      </c>
    </row>
    <row r="4">
      <c r="A4" s="64" t="s">
        <v>1596</v>
      </c>
      <c r="D4" s="39" t="s">
        <v>1649</v>
      </c>
      <c r="E4" s="39" t="s">
        <v>1507</v>
      </c>
      <c r="F4" s="39" t="s">
        <v>64</v>
      </c>
      <c r="G4" s="39" t="s">
        <v>1349</v>
      </c>
      <c r="H4" s="39" t="s">
        <v>1349</v>
      </c>
      <c r="I4" s="40">
        <v>34.481</v>
      </c>
      <c r="L4" s="2" t="s">
        <v>66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300.0</v>
      </c>
      <c r="AE4" s="39">
        <v>1.0</v>
      </c>
    </row>
    <row r="5">
      <c r="A5" s="64" t="s">
        <v>1599</v>
      </c>
      <c r="D5" s="39" t="s">
        <v>1649</v>
      </c>
      <c r="E5" s="39" t="s">
        <v>1507</v>
      </c>
      <c r="F5" s="39" t="s">
        <v>64</v>
      </c>
      <c r="G5" s="39" t="s">
        <v>1600</v>
      </c>
      <c r="H5" s="39" t="s">
        <v>1600</v>
      </c>
      <c r="I5" s="40">
        <v>35.269000000000005</v>
      </c>
      <c r="L5" s="2" t="s">
        <v>66</v>
      </c>
      <c r="N5" s="39" t="s">
        <v>67</v>
      </c>
      <c r="O5" s="39" t="s">
        <v>81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1.0</v>
      </c>
      <c r="X5" s="39">
        <v>0.0</v>
      </c>
      <c r="Y5" s="39">
        <v>0.0</v>
      </c>
      <c r="AC5" s="39">
        <v>200.0</v>
      </c>
      <c r="AE5" s="39">
        <v>1.0</v>
      </c>
    </row>
    <row r="6">
      <c r="A6" s="64" t="s">
        <v>1601</v>
      </c>
      <c r="D6" s="39" t="s">
        <v>1649</v>
      </c>
      <c r="E6" s="39" t="s">
        <v>1507</v>
      </c>
      <c r="F6" s="39" t="s">
        <v>64</v>
      </c>
      <c r="G6" s="39" t="s">
        <v>1602</v>
      </c>
      <c r="H6" s="39" t="s">
        <v>1602</v>
      </c>
      <c r="I6" s="40">
        <v>35.900000000000006</v>
      </c>
      <c r="L6" s="2" t="s">
        <v>66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250.0</v>
      </c>
      <c r="AE6" s="39">
        <v>1.0</v>
      </c>
    </row>
    <row r="7">
      <c r="A7" s="64" t="s">
        <v>1603</v>
      </c>
      <c r="D7" s="39" t="s">
        <v>1649</v>
      </c>
      <c r="E7" s="39" t="s">
        <v>1507</v>
      </c>
      <c r="F7" s="39" t="s">
        <v>64</v>
      </c>
      <c r="G7" s="39" t="s">
        <v>1604</v>
      </c>
      <c r="H7" s="39" t="s">
        <v>1604</v>
      </c>
      <c r="I7" s="40">
        <v>36.332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350.0</v>
      </c>
      <c r="AE7" s="39">
        <v>1.0</v>
      </c>
    </row>
    <row r="8">
      <c r="A8" s="64" t="s">
        <v>1605</v>
      </c>
      <c r="D8" s="39" t="s">
        <v>1649</v>
      </c>
      <c r="E8" s="39" t="s">
        <v>1507</v>
      </c>
      <c r="F8" s="39" t="s">
        <v>64</v>
      </c>
      <c r="G8" s="39" t="s">
        <v>1606</v>
      </c>
      <c r="H8" s="39" t="s">
        <v>1606</v>
      </c>
      <c r="I8" s="40">
        <v>37.3355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400.0</v>
      </c>
      <c r="AE8" s="39">
        <v>1.0</v>
      </c>
    </row>
    <row r="9">
      <c r="A9" s="64" t="s">
        <v>1607</v>
      </c>
      <c r="D9" s="39" t="s">
        <v>1649</v>
      </c>
      <c r="E9" s="39" t="s">
        <v>1507</v>
      </c>
      <c r="F9" s="39" t="s">
        <v>64</v>
      </c>
      <c r="G9" s="39" t="s">
        <v>1608</v>
      </c>
      <c r="H9" s="39" t="s">
        <v>1608</v>
      </c>
      <c r="I9" s="40">
        <v>38.23350000000001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500.0</v>
      </c>
      <c r="AE9" s="39">
        <v>1.0</v>
      </c>
    </row>
    <row r="10">
      <c r="A10" s="64" t="s">
        <v>1609</v>
      </c>
      <c r="D10" s="39" t="s">
        <v>1649</v>
      </c>
      <c r="E10" s="39" t="s">
        <v>1507</v>
      </c>
      <c r="F10" s="39" t="s">
        <v>64</v>
      </c>
      <c r="G10" s="39" t="s">
        <v>657</v>
      </c>
      <c r="I10" s="40">
        <v>38.9305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550.0</v>
      </c>
      <c r="AE10" s="39">
        <v>1.0</v>
      </c>
    </row>
    <row r="11">
      <c r="A11" s="64" t="s">
        <v>1610</v>
      </c>
      <c r="D11" s="39" t="s">
        <v>1649</v>
      </c>
      <c r="E11" s="39" t="s">
        <v>1507</v>
      </c>
      <c r="F11" s="39" t="s">
        <v>64</v>
      </c>
      <c r="G11" s="39" t="s">
        <v>1611</v>
      </c>
      <c r="H11" s="39" t="s">
        <v>1611</v>
      </c>
      <c r="I11" s="40">
        <v>39.9885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400.0</v>
      </c>
      <c r="AE11" s="39">
        <v>1.0</v>
      </c>
    </row>
    <row r="12">
      <c r="A12" s="64" t="s">
        <v>1612</v>
      </c>
      <c r="D12" s="39" t="s">
        <v>1649</v>
      </c>
      <c r="E12" s="39" t="s">
        <v>1507</v>
      </c>
      <c r="F12" s="39" t="s">
        <v>64</v>
      </c>
      <c r="G12" s="39" t="s">
        <v>1613</v>
      </c>
      <c r="H12" s="39" t="s">
        <v>1613</v>
      </c>
      <c r="I12" s="40">
        <v>40.929500000000004</v>
      </c>
      <c r="L12" s="39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350.0</v>
      </c>
      <c r="AE12" s="39">
        <v>1.0</v>
      </c>
    </row>
    <row r="13">
      <c r="A13" s="64" t="s">
        <v>1614</v>
      </c>
      <c r="D13" s="39" t="s">
        <v>1649</v>
      </c>
      <c r="E13" s="39" t="s">
        <v>1507</v>
      </c>
      <c r="F13" s="39" t="s">
        <v>64</v>
      </c>
      <c r="G13" s="39" t="s">
        <v>1615</v>
      </c>
      <c r="H13" s="39" t="s">
        <v>1615</v>
      </c>
      <c r="I13" s="40">
        <v>41.975500000000004</v>
      </c>
      <c r="L13" s="39" t="s">
        <v>102</v>
      </c>
      <c r="N13" s="39" t="s">
        <v>67</v>
      </c>
      <c r="O13" s="39" t="s">
        <v>67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250.0</v>
      </c>
      <c r="AE13" s="39">
        <v>1.0</v>
      </c>
    </row>
    <row r="14">
      <c r="A14" s="64" t="s">
        <v>1616</v>
      </c>
      <c r="D14" s="39" t="s">
        <v>1649</v>
      </c>
      <c r="E14" s="39" t="s">
        <v>1507</v>
      </c>
      <c r="F14" s="39" t="s">
        <v>64</v>
      </c>
      <c r="G14" s="39" t="s">
        <v>1617</v>
      </c>
      <c r="H14" s="39" t="s">
        <v>1617</v>
      </c>
      <c r="I14" s="40">
        <v>43.026500000000006</v>
      </c>
      <c r="L14" s="39" t="s">
        <v>102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300.0</v>
      </c>
      <c r="AE14" s="39">
        <v>1.0</v>
      </c>
    </row>
    <row r="15">
      <c r="A15" s="64" t="s">
        <v>1618</v>
      </c>
      <c r="D15" s="39" t="s">
        <v>1649</v>
      </c>
      <c r="E15" s="39" t="s">
        <v>1507</v>
      </c>
      <c r="F15" s="39" t="s">
        <v>64</v>
      </c>
      <c r="G15" s="39" t="s">
        <v>657</v>
      </c>
      <c r="I15" s="40">
        <v>43.746500000000005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400.0</v>
      </c>
      <c r="AE15" s="39">
        <v>1.0</v>
      </c>
    </row>
    <row r="16">
      <c r="A16" s="64" t="s">
        <v>1619</v>
      </c>
      <c r="B16" s="39" t="s">
        <v>1525</v>
      </c>
      <c r="C16" s="39" t="s">
        <v>1526</v>
      </c>
      <c r="D16" s="39" t="s">
        <v>1649</v>
      </c>
      <c r="E16" s="39" t="s">
        <v>1507</v>
      </c>
      <c r="F16" s="39" t="s">
        <v>64</v>
      </c>
      <c r="G16" s="39" t="s">
        <v>1620</v>
      </c>
      <c r="H16" s="39" t="s">
        <v>1620</v>
      </c>
      <c r="I16" s="40">
        <v>44.319500000000005</v>
      </c>
      <c r="L16" s="2" t="s">
        <v>66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1.0</v>
      </c>
      <c r="W16" s="39">
        <v>0.0</v>
      </c>
      <c r="X16" s="39">
        <v>0.0</v>
      </c>
      <c r="Y16" s="39">
        <v>1.0</v>
      </c>
      <c r="Z16" s="30" t="s">
        <v>1100</v>
      </c>
      <c r="AA16" s="30" t="s">
        <v>97</v>
      </c>
      <c r="AC16" s="39">
        <v>250.0</v>
      </c>
      <c r="AE16" s="39">
        <v>1.0</v>
      </c>
    </row>
    <row r="17">
      <c r="A17" s="64" t="s">
        <v>1621</v>
      </c>
      <c r="B17" s="39" t="s">
        <v>1525</v>
      </c>
      <c r="C17" s="39" t="s">
        <v>1526</v>
      </c>
      <c r="D17" s="39" t="s">
        <v>1649</v>
      </c>
      <c r="E17" s="39" t="s">
        <v>1507</v>
      </c>
      <c r="F17" s="39" t="s">
        <v>64</v>
      </c>
      <c r="G17" s="39" t="s">
        <v>657</v>
      </c>
      <c r="I17" s="40">
        <v>45.2595</v>
      </c>
      <c r="L17" s="2" t="s">
        <v>66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1.0</v>
      </c>
      <c r="X17" s="39">
        <v>0.0</v>
      </c>
      <c r="Y17" s="39">
        <v>0.0</v>
      </c>
      <c r="AC17" s="39">
        <v>250.0</v>
      </c>
      <c r="AE17" s="39">
        <v>1.0</v>
      </c>
    </row>
    <row r="18">
      <c r="A18" s="64" t="s">
        <v>1622</v>
      </c>
      <c r="D18" s="39" t="s">
        <v>1649</v>
      </c>
      <c r="E18" s="39" t="s">
        <v>1507</v>
      </c>
      <c r="F18" s="39" t="s">
        <v>64</v>
      </c>
      <c r="G18" s="39" t="s">
        <v>1623</v>
      </c>
      <c r="H18" s="39" t="s">
        <v>1623</v>
      </c>
      <c r="I18" s="40">
        <v>46.2665</v>
      </c>
      <c r="L18" s="39" t="s">
        <v>102</v>
      </c>
      <c r="N18" s="39" t="s">
        <v>67</v>
      </c>
      <c r="O18" s="39" t="s">
        <v>81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300.0</v>
      </c>
      <c r="AE18" s="39">
        <v>1.0</v>
      </c>
    </row>
    <row r="19">
      <c r="A19" s="64" t="s">
        <v>1624</v>
      </c>
      <c r="D19" s="39" t="s">
        <v>1649</v>
      </c>
      <c r="E19" s="39" t="s">
        <v>1507</v>
      </c>
      <c r="F19" s="39" t="s">
        <v>64</v>
      </c>
      <c r="G19" s="39" t="s">
        <v>1625</v>
      </c>
      <c r="H19" s="39" t="s">
        <v>1625</v>
      </c>
      <c r="I19" s="40">
        <v>47.060500000000005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350.0</v>
      </c>
      <c r="AE19" s="39">
        <v>1.0</v>
      </c>
    </row>
    <row r="20">
      <c r="A20" s="65" t="s">
        <v>1626</v>
      </c>
      <c r="B20" s="39" t="s">
        <v>1518</v>
      </c>
      <c r="C20" s="39" t="s">
        <v>1519</v>
      </c>
      <c r="D20" s="39" t="s">
        <v>1649</v>
      </c>
      <c r="E20" s="39" t="s">
        <v>1507</v>
      </c>
      <c r="F20" s="39" t="s">
        <v>64</v>
      </c>
      <c r="G20" s="39" t="s">
        <v>1627</v>
      </c>
      <c r="H20" s="39" t="s">
        <v>1627</v>
      </c>
      <c r="I20" s="40">
        <v>47.5095</v>
      </c>
      <c r="L20" s="2" t="s">
        <v>66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1.0</v>
      </c>
      <c r="W20" s="39">
        <v>0.0</v>
      </c>
      <c r="X20" s="39">
        <v>0.0</v>
      </c>
      <c r="Y20" s="39">
        <v>1.0</v>
      </c>
      <c r="Z20" s="30" t="s">
        <v>1006</v>
      </c>
      <c r="AA20" s="30" t="s">
        <v>97</v>
      </c>
      <c r="AC20" s="39">
        <v>300.0</v>
      </c>
      <c r="AE20" s="39">
        <v>1.0</v>
      </c>
    </row>
    <row r="21">
      <c r="A21" s="65" t="s">
        <v>1646</v>
      </c>
      <c r="B21" s="39" t="s">
        <v>1518</v>
      </c>
      <c r="C21" s="39" t="s">
        <v>1519</v>
      </c>
      <c r="D21" s="39" t="s">
        <v>1649</v>
      </c>
      <c r="E21" s="39" t="s">
        <v>1507</v>
      </c>
      <c r="F21" s="39" t="s">
        <v>64</v>
      </c>
      <c r="G21" s="39" t="s">
        <v>657</v>
      </c>
      <c r="I21" s="40">
        <v>48.4605</v>
      </c>
      <c r="L21" s="2" t="s">
        <v>66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300.0</v>
      </c>
      <c r="AE21" s="39">
        <v>1.0</v>
      </c>
    </row>
    <row r="22">
      <c r="A22" s="64" t="s">
        <v>1650</v>
      </c>
      <c r="D22" s="39" t="s">
        <v>1649</v>
      </c>
      <c r="E22" s="39" t="s">
        <v>1507</v>
      </c>
      <c r="F22" s="39" t="s">
        <v>64</v>
      </c>
      <c r="G22" s="39" t="s">
        <v>1651</v>
      </c>
      <c r="H22" s="39" t="s">
        <v>1651</v>
      </c>
      <c r="I22" s="40">
        <v>49.0865</v>
      </c>
      <c r="L22" s="39" t="s">
        <v>102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350.0</v>
      </c>
      <c r="AE22" s="39">
        <v>1.0</v>
      </c>
    </row>
    <row r="23">
      <c r="A23" s="64" t="s">
        <v>1652</v>
      </c>
      <c r="D23" s="39" t="s">
        <v>1649</v>
      </c>
      <c r="E23" s="39" t="s">
        <v>1507</v>
      </c>
      <c r="F23" s="39" t="s">
        <v>64</v>
      </c>
      <c r="G23" s="39" t="s">
        <v>1653</v>
      </c>
      <c r="H23" s="39" t="s">
        <v>1653</v>
      </c>
      <c r="I23" s="40">
        <v>50.1715</v>
      </c>
      <c r="L23" s="39" t="s">
        <v>102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500.0</v>
      </c>
      <c r="AE23" s="39">
        <v>1.0</v>
      </c>
    </row>
    <row r="24">
      <c r="A24" s="64" t="s">
        <v>1654</v>
      </c>
      <c r="B24" s="39" t="s">
        <v>1335</v>
      </c>
      <c r="C24" s="39" t="s">
        <v>1336</v>
      </c>
      <c r="D24" s="39" t="s">
        <v>1649</v>
      </c>
      <c r="E24" s="39" t="s">
        <v>1507</v>
      </c>
      <c r="F24" s="39" t="s">
        <v>64</v>
      </c>
      <c r="G24" s="39" t="s">
        <v>657</v>
      </c>
      <c r="I24" s="40">
        <v>50.7165</v>
      </c>
      <c r="L24" s="2" t="s">
        <v>66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300.0</v>
      </c>
      <c r="AE24" s="39">
        <v>1.0</v>
      </c>
    </row>
    <row r="25">
      <c r="A25" s="64" t="s">
        <v>1655</v>
      </c>
      <c r="D25" s="39" t="s">
        <v>1649</v>
      </c>
      <c r="E25" s="39" t="s">
        <v>1507</v>
      </c>
      <c r="F25" s="39" t="s">
        <v>64</v>
      </c>
      <c r="G25" s="39" t="s">
        <v>1656</v>
      </c>
      <c r="H25" s="39" t="s">
        <v>1656</v>
      </c>
      <c r="I25" s="40">
        <v>51.7015</v>
      </c>
      <c r="L25" s="39" t="s">
        <v>102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1.0</v>
      </c>
      <c r="V25" s="39">
        <v>0.0</v>
      </c>
      <c r="W25" s="39">
        <v>0.0</v>
      </c>
      <c r="X25" s="39">
        <v>0.0</v>
      </c>
      <c r="Y25" s="39">
        <v>0.0</v>
      </c>
      <c r="AC25" s="39">
        <v>400.0</v>
      </c>
      <c r="AE25" s="39">
        <v>1.0</v>
      </c>
    </row>
    <row r="26">
      <c r="A26" s="64" t="s">
        <v>1657</v>
      </c>
      <c r="B26" s="39" t="s">
        <v>1344</v>
      </c>
      <c r="C26" s="39" t="s">
        <v>1345</v>
      </c>
      <c r="D26" s="39" t="s">
        <v>1649</v>
      </c>
      <c r="E26" s="39" t="s">
        <v>1507</v>
      </c>
      <c r="F26" s="39" t="s">
        <v>64</v>
      </c>
      <c r="G26" s="39" t="s">
        <v>1658</v>
      </c>
      <c r="H26" s="39" t="s">
        <v>1658</v>
      </c>
      <c r="I26" s="40">
        <v>52.3815</v>
      </c>
      <c r="L26" s="2" t="s">
        <v>66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1.0</v>
      </c>
      <c r="W26" s="39">
        <v>0.0</v>
      </c>
      <c r="X26" s="39">
        <v>0.0</v>
      </c>
      <c r="Y26" s="39">
        <v>1.0</v>
      </c>
      <c r="Z26" s="30" t="s">
        <v>1100</v>
      </c>
      <c r="AA26" s="30" t="s">
        <v>97</v>
      </c>
      <c r="AC26" s="39">
        <v>300.0</v>
      </c>
      <c r="AE26" s="39">
        <v>1.0</v>
      </c>
    </row>
    <row r="27">
      <c r="A27" s="64" t="s">
        <v>1659</v>
      </c>
      <c r="B27" s="39" t="s">
        <v>1344</v>
      </c>
      <c r="C27" s="39" t="s">
        <v>1345</v>
      </c>
      <c r="D27" s="39" t="s">
        <v>1649</v>
      </c>
      <c r="E27" s="39" t="s">
        <v>1507</v>
      </c>
      <c r="F27" s="39" t="s">
        <v>64</v>
      </c>
      <c r="G27" s="39" t="s">
        <v>657</v>
      </c>
      <c r="I27" s="40">
        <v>53.197500000000005</v>
      </c>
      <c r="L27" s="2" t="s">
        <v>66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1.0</v>
      </c>
      <c r="W27" s="39">
        <v>0.0</v>
      </c>
      <c r="X27" s="39">
        <v>0.0</v>
      </c>
      <c r="Y27" s="39">
        <v>1.0</v>
      </c>
      <c r="Z27" s="30" t="s">
        <v>1100</v>
      </c>
      <c r="AA27" s="30" t="s">
        <v>97</v>
      </c>
      <c r="AC27" s="39">
        <v>280.0</v>
      </c>
      <c r="AE27" s="39">
        <v>1.0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66" t="s">
        <v>1660</v>
      </c>
      <c r="B2" s="39" t="s">
        <v>1507</v>
      </c>
      <c r="C2" s="39" t="s">
        <v>64</v>
      </c>
      <c r="F2" s="66">
        <v>35.06</v>
      </c>
      <c r="G2" s="66">
        <v>35.24</v>
      </c>
      <c r="H2" s="66">
        <v>20.0</v>
      </c>
      <c r="I2" s="67">
        <v>19.1905</v>
      </c>
      <c r="J2" s="67">
        <v>72.99381</v>
      </c>
      <c r="K2" s="67">
        <v>19.18539</v>
      </c>
      <c r="L2" s="67">
        <v>72.99571</v>
      </c>
      <c r="M2" s="66" t="s">
        <v>1437</v>
      </c>
      <c r="O2" s="39" t="s">
        <v>1599</v>
      </c>
    </row>
    <row r="3">
      <c r="A3" s="66" t="s">
        <v>1660</v>
      </c>
      <c r="B3" s="39" t="s">
        <v>1507</v>
      </c>
      <c r="C3" s="39" t="s">
        <v>64</v>
      </c>
      <c r="F3" s="66">
        <v>37.14</v>
      </c>
      <c r="G3" s="66">
        <v>37.52</v>
      </c>
      <c r="H3" s="66">
        <v>75.0</v>
      </c>
      <c r="I3" s="67">
        <v>19.1736</v>
      </c>
      <c r="J3" s="67">
        <v>72.99688</v>
      </c>
      <c r="K3" s="67">
        <v>19.16766</v>
      </c>
      <c r="L3" s="67">
        <v>72.99916</v>
      </c>
      <c r="M3" s="66" t="s">
        <v>1636</v>
      </c>
      <c r="O3" s="39" t="s">
        <v>1605</v>
      </c>
    </row>
    <row r="4">
      <c r="A4" s="66" t="s">
        <v>1661</v>
      </c>
      <c r="B4" s="39" t="s">
        <v>1507</v>
      </c>
      <c r="C4" s="39" t="s">
        <v>64</v>
      </c>
      <c r="F4" s="66">
        <v>40.0</v>
      </c>
      <c r="G4" s="66">
        <v>40.34</v>
      </c>
      <c r="H4" s="66">
        <v>75.0</v>
      </c>
      <c r="I4" s="67">
        <v>19.14832</v>
      </c>
      <c r="J4" s="67">
        <v>73.00027</v>
      </c>
      <c r="K4" s="67">
        <v>19.14278</v>
      </c>
      <c r="L4" s="67">
        <v>73.00205</v>
      </c>
      <c r="M4" s="66" t="s">
        <v>1637</v>
      </c>
      <c r="O4" s="39" t="s">
        <v>1612</v>
      </c>
    </row>
    <row r="5">
      <c r="A5" s="66" t="s">
        <v>1661</v>
      </c>
      <c r="B5" s="39" t="s">
        <v>1507</v>
      </c>
      <c r="C5" s="39" t="s">
        <v>64</v>
      </c>
      <c r="F5" s="66">
        <v>41.85</v>
      </c>
      <c r="G5" s="66">
        <v>42.11</v>
      </c>
      <c r="H5" s="66">
        <v>75.0</v>
      </c>
      <c r="I5" s="67">
        <v>19.13208</v>
      </c>
      <c r="J5" s="67">
        <v>73.00326</v>
      </c>
      <c r="K5" s="67">
        <v>19.12701</v>
      </c>
      <c r="L5" s="67">
        <v>73.00398</v>
      </c>
      <c r="M5" s="66" t="s">
        <v>1638</v>
      </c>
      <c r="O5" s="39" t="s">
        <v>1614</v>
      </c>
    </row>
    <row r="6">
      <c r="A6" s="66" t="s">
        <v>1661</v>
      </c>
      <c r="B6" s="39" t="s">
        <v>1507</v>
      </c>
      <c r="C6" s="39" t="s">
        <v>64</v>
      </c>
      <c r="F6" s="66">
        <v>44.36</v>
      </c>
      <c r="G6" s="66">
        <v>45.02</v>
      </c>
      <c r="H6" s="66">
        <v>50.0</v>
      </c>
      <c r="I6" s="67">
        <v>19.10708</v>
      </c>
      <c r="J6" s="67">
        <v>73.0104</v>
      </c>
      <c r="K6" s="67">
        <v>19.10207</v>
      </c>
      <c r="L6" s="67">
        <v>73.01179</v>
      </c>
      <c r="M6" s="66" t="s">
        <v>1639</v>
      </c>
      <c r="O6" s="39" t="s">
        <v>1621</v>
      </c>
    </row>
    <row r="7">
      <c r="A7" s="66" t="s">
        <v>1662</v>
      </c>
      <c r="B7" s="39" t="s">
        <v>1507</v>
      </c>
      <c r="C7" s="39" t="s">
        <v>64</v>
      </c>
      <c r="F7" s="66">
        <v>45.28</v>
      </c>
      <c r="G7" s="66">
        <v>45.49</v>
      </c>
      <c r="H7" s="66">
        <v>70.0</v>
      </c>
      <c r="I7" s="67">
        <v>19.10203</v>
      </c>
      <c r="J7" s="67">
        <v>73.01181</v>
      </c>
      <c r="K7" s="67">
        <v>19.09766</v>
      </c>
      <c r="L7" s="67">
        <v>73.01457</v>
      </c>
      <c r="M7" s="66" t="s">
        <v>1565</v>
      </c>
      <c r="O7" s="39" t="s">
        <v>1622</v>
      </c>
    </row>
    <row r="8">
      <c r="A8" s="66" t="s">
        <v>1663</v>
      </c>
      <c r="B8" s="39" t="s">
        <v>1507</v>
      </c>
      <c r="C8" s="39" t="s">
        <v>64</v>
      </c>
      <c r="F8" s="66">
        <v>48.58</v>
      </c>
      <c r="G8" s="66">
        <v>48.77</v>
      </c>
      <c r="H8" s="66">
        <v>40.0</v>
      </c>
      <c r="M8" s="66" t="s">
        <v>1664</v>
      </c>
    </row>
    <row r="9">
      <c r="A9" s="66" t="s">
        <v>1663</v>
      </c>
      <c r="B9" s="39" t="s">
        <v>1507</v>
      </c>
      <c r="C9" s="39" t="s">
        <v>64</v>
      </c>
      <c r="F9" s="66">
        <v>49.14</v>
      </c>
      <c r="G9" s="66">
        <v>49.73</v>
      </c>
      <c r="H9" s="66">
        <v>50.0</v>
      </c>
      <c r="M9" s="66" t="s">
        <v>1665</v>
      </c>
    </row>
    <row r="10">
      <c r="A10" s="66" t="s">
        <v>1663</v>
      </c>
      <c r="B10" s="39" t="s">
        <v>1507</v>
      </c>
      <c r="C10" s="39" t="s">
        <v>64</v>
      </c>
      <c r="F10" s="66">
        <v>50.65</v>
      </c>
      <c r="G10" s="66">
        <v>50.77</v>
      </c>
      <c r="H10" s="66">
        <v>60.0</v>
      </c>
      <c r="M10" s="66" t="s">
        <v>1666</v>
      </c>
    </row>
    <row r="11">
      <c r="A11" s="66" t="s">
        <v>1663</v>
      </c>
      <c r="B11" s="39" t="s">
        <v>1507</v>
      </c>
      <c r="C11" s="39" t="s">
        <v>64</v>
      </c>
      <c r="F11" s="66">
        <v>51.4</v>
      </c>
      <c r="G11" s="66">
        <v>51.66</v>
      </c>
      <c r="H11" s="66">
        <v>50.0</v>
      </c>
      <c r="M11" s="66" t="s">
        <v>1667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9" t="s">
        <v>377</v>
      </c>
      <c r="B1" s="39" t="s">
        <v>378</v>
      </c>
    </row>
    <row r="2">
      <c r="A2" s="39" t="s">
        <v>1590</v>
      </c>
      <c r="B2" s="39" t="s">
        <v>1640</v>
      </c>
    </row>
    <row r="3">
      <c r="A3" s="39" t="s">
        <v>1641</v>
      </c>
      <c r="B3" s="39" t="s">
        <v>1642</v>
      </c>
    </row>
    <row r="4">
      <c r="A4" s="39" t="s">
        <v>1587</v>
      </c>
      <c r="B4" s="39" t="s">
        <v>1643</v>
      </c>
    </row>
    <row r="5">
      <c r="A5" s="39" t="s">
        <v>1585</v>
      </c>
      <c r="B5" s="39" t="s">
        <v>1644</v>
      </c>
    </row>
    <row r="6">
      <c r="A6" s="39" t="s">
        <v>1583</v>
      </c>
      <c r="B6" s="39" t="s">
        <v>1645</v>
      </c>
    </row>
    <row r="7">
      <c r="A7" s="39" t="s">
        <v>1582</v>
      </c>
      <c r="B7" s="39" t="s">
        <v>1621</v>
      </c>
    </row>
    <row r="8">
      <c r="A8" s="39" t="s">
        <v>1581</v>
      </c>
      <c r="B8" s="39" t="s">
        <v>1646</v>
      </c>
    </row>
    <row r="9">
      <c r="A9" s="39" t="s">
        <v>1580</v>
      </c>
      <c r="B9" s="39" t="s">
        <v>1654</v>
      </c>
    </row>
    <row r="10">
      <c r="A10" s="39" t="s">
        <v>1578</v>
      </c>
      <c r="B10" s="39" t="s">
        <v>1659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1668</v>
      </c>
      <c r="B2" s="39" t="s">
        <v>1316</v>
      </c>
      <c r="C2" s="39" t="s">
        <v>1317</v>
      </c>
      <c r="D2" s="39" t="s">
        <v>1669</v>
      </c>
      <c r="E2" s="39" t="s">
        <v>1507</v>
      </c>
      <c r="F2" s="39" t="s">
        <v>397</v>
      </c>
      <c r="G2" s="39" t="s">
        <v>657</v>
      </c>
      <c r="L2" s="2" t="s">
        <v>66</v>
      </c>
      <c r="O2" s="39" t="s">
        <v>68</v>
      </c>
      <c r="AE2" s="39">
        <v>1.0</v>
      </c>
    </row>
    <row r="3">
      <c r="A3" s="39" t="s">
        <v>1670</v>
      </c>
      <c r="B3" s="39" t="s">
        <v>1316</v>
      </c>
      <c r="C3" s="39" t="s">
        <v>1317</v>
      </c>
      <c r="D3" s="39" t="s">
        <v>1669</v>
      </c>
      <c r="E3" s="39" t="s">
        <v>1507</v>
      </c>
      <c r="F3" s="39" t="s">
        <v>397</v>
      </c>
      <c r="G3" s="39" t="s">
        <v>662</v>
      </c>
      <c r="L3" s="2" t="s">
        <v>66</v>
      </c>
      <c r="O3" s="39" t="s">
        <v>68</v>
      </c>
      <c r="AE3" s="39">
        <v>1.0</v>
      </c>
    </row>
    <row r="4">
      <c r="A4" s="39" t="s">
        <v>1671</v>
      </c>
      <c r="B4" s="39" t="s">
        <v>1316</v>
      </c>
      <c r="C4" s="39" t="s">
        <v>1317</v>
      </c>
      <c r="D4" s="39" t="s">
        <v>1669</v>
      </c>
      <c r="E4" s="39" t="s">
        <v>1507</v>
      </c>
      <c r="F4" s="39" t="s">
        <v>397</v>
      </c>
      <c r="G4" s="39" t="s">
        <v>1672</v>
      </c>
      <c r="H4" s="39" t="s">
        <v>1672</v>
      </c>
      <c r="L4" s="2" t="s">
        <v>66</v>
      </c>
      <c r="O4" s="39" t="s">
        <v>68</v>
      </c>
      <c r="AE4" s="39">
        <v>1.0</v>
      </c>
    </row>
    <row r="5">
      <c r="A5" s="39" t="s">
        <v>1673</v>
      </c>
      <c r="D5" s="39" t="s">
        <v>1669</v>
      </c>
      <c r="E5" s="39" t="s">
        <v>1507</v>
      </c>
      <c r="F5" s="39" t="s">
        <v>397</v>
      </c>
      <c r="G5" s="39" t="s">
        <v>1674</v>
      </c>
      <c r="H5" s="39" t="s">
        <v>1674</v>
      </c>
      <c r="L5" s="39" t="s">
        <v>102</v>
      </c>
      <c r="O5" s="39" t="s">
        <v>68</v>
      </c>
      <c r="AE5" s="39">
        <v>1.0</v>
      </c>
    </row>
    <row r="6">
      <c r="A6" s="39" t="s">
        <v>1675</v>
      </c>
      <c r="B6" s="39" t="s">
        <v>1518</v>
      </c>
      <c r="C6" s="39" t="s">
        <v>1519</v>
      </c>
      <c r="D6" s="39" t="s">
        <v>1669</v>
      </c>
      <c r="E6" s="39" t="s">
        <v>1507</v>
      </c>
      <c r="F6" s="39" t="s">
        <v>397</v>
      </c>
      <c r="G6" s="39" t="s">
        <v>1676</v>
      </c>
      <c r="H6" s="39" t="s">
        <v>1676</v>
      </c>
      <c r="L6" s="2" t="s">
        <v>66</v>
      </c>
      <c r="O6" s="39" t="s">
        <v>68</v>
      </c>
      <c r="AE6" s="39">
        <v>1.0</v>
      </c>
    </row>
    <row r="7">
      <c r="A7" s="30" t="s">
        <v>1677</v>
      </c>
      <c r="B7" s="39" t="s">
        <v>1518</v>
      </c>
      <c r="C7" s="39" t="s">
        <v>1519</v>
      </c>
      <c r="D7" s="39" t="s">
        <v>1669</v>
      </c>
      <c r="E7" s="39" t="s">
        <v>1507</v>
      </c>
      <c r="F7" s="39" t="s">
        <v>397</v>
      </c>
      <c r="G7" s="39" t="s">
        <v>72</v>
      </c>
      <c r="H7" s="39"/>
      <c r="L7" s="2" t="s">
        <v>66</v>
      </c>
      <c r="N7" s="39"/>
      <c r="O7" s="39" t="s">
        <v>68</v>
      </c>
      <c r="Q7" s="39"/>
      <c r="R7" s="39"/>
      <c r="S7" s="39"/>
      <c r="T7" s="39"/>
      <c r="U7" s="39"/>
      <c r="V7" s="39"/>
      <c r="W7" s="39"/>
      <c r="X7" s="39"/>
      <c r="Y7" s="39"/>
      <c r="AC7" s="39"/>
      <c r="AE7" s="39">
        <v>1.0</v>
      </c>
    </row>
    <row r="8">
      <c r="A8" s="20" t="s">
        <v>1522</v>
      </c>
      <c r="D8" s="39" t="s">
        <v>1669</v>
      </c>
      <c r="E8" s="39" t="s">
        <v>1507</v>
      </c>
      <c r="F8" s="39" t="s">
        <v>397</v>
      </c>
      <c r="G8" s="39" t="s">
        <v>1523</v>
      </c>
      <c r="H8" s="39" t="s">
        <v>1523</v>
      </c>
      <c r="I8" s="40">
        <v>47.30950000000001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300.0</v>
      </c>
      <c r="AE8" s="39">
        <v>1.0</v>
      </c>
    </row>
    <row r="9">
      <c r="A9" s="20" t="s">
        <v>1524</v>
      </c>
      <c r="B9" s="39" t="s">
        <v>1525</v>
      </c>
      <c r="C9" s="39" t="s">
        <v>1526</v>
      </c>
      <c r="D9" s="39" t="s">
        <v>1669</v>
      </c>
      <c r="E9" s="39" t="s">
        <v>1507</v>
      </c>
      <c r="F9" s="39" t="s">
        <v>397</v>
      </c>
      <c r="G9" s="39" t="s">
        <v>1527</v>
      </c>
      <c r="H9" s="39" t="s">
        <v>1527</v>
      </c>
      <c r="I9" s="40">
        <v>46.29950000000001</v>
      </c>
      <c r="L9" s="2" t="s">
        <v>66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1.0</v>
      </c>
      <c r="W9" s="39">
        <v>0.0</v>
      </c>
      <c r="X9" s="39">
        <v>1.0</v>
      </c>
      <c r="Y9" s="39">
        <v>0.0</v>
      </c>
      <c r="Z9" s="30" t="s">
        <v>1528</v>
      </c>
      <c r="AA9" s="30" t="s">
        <v>115</v>
      </c>
      <c r="AC9" s="39">
        <v>200.0</v>
      </c>
      <c r="AE9" s="39">
        <v>1.0</v>
      </c>
    </row>
    <row r="10">
      <c r="A10" s="57" t="s">
        <v>1529</v>
      </c>
      <c r="B10" s="39" t="s">
        <v>1525</v>
      </c>
      <c r="C10" s="39" t="s">
        <v>1526</v>
      </c>
      <c r="D10" s="39" t="s">
        <v>1669</v>
      </c>
      <c r="E10" s="39" t="s">
        <v>1507</v>
      </c>
      <c r="F10" s="39" t="s">
        <v>397</v>
      </c>
      <c r="G10" s="39" t="s">
        <v>662</v>
      </c>
      <c r="I10" s="40">
        <v>45.230500000000006</v>
      </c>
      <c r="L10" s="2" t="s">
        <v>66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1.0</v>
      </c>
      <c r="X10" s="39">
        <v>0.0</v>
      </c>
      <c r="Y10" s="39">
        <v>0.0</v>
      </c>
      <c r="AC10" s="39">
        <v>350.0</v>
      </c>
      <c r="AE10" s="39">
        <v>1.0</v>
      </c>
    </row>
    <row r="11">
      <c r="A11" s="20" t="s">
        <v>1530</v>
      </c>
      <c r="B11" s="39" t="s">
        <v>1525</v>
      </c>
      <c r="C11" s="39" t="s">
        <v>1526</v>
      </c>
      <c r="D11" s="39" t="s">
        <v>1669</v>
      </c>
      <c r="E11" s="39" t="s">
        <v>1507</v>
      </c>
      <c r="F11" s="39" t="s">
        <v>397</v>
      </c>
      <c r="G11" s="39" t="s">
        <v>1531</v>
      </c>
      <c r="H11" s="39" t="s">
        <v>1531</v>
      </c>
      <c r="I11" s="40">
        <v>44.594500000000004</v>
      </c>
      <c r="L11" s="2" t="s">
        <v>66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250.0</v>
      </c>
      <c r="AE11" s="39">
        <v>1.0</v>
      </c>
    </row>
    <row r="12">
      <c r="A12" s="20" t="s">
        <v>1532</v>
      </c>
      <c r="D12" s="39" t="s">
        <v>1669</v>
      </c>
      <c r="E12" s="39" t="s">
        <v>1507</v>
      </c>
      <c r="F12" s="39" t="s">
        <v>397</v>
      </c>
      <c r="G12" s="39" t="s">
        <v>662</v>
      </c>
      <c r="I12" s="40">
        <v>44.04950000000001</v>
      </c>
      <c r="L12" s="39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350.0</v>
      </c>
      <c r="AE12" s="39">
        <v>1.0</v>
      </c>
    </row>
    <row r="13">
      <c r="A13" s="20" t="s">
        <v>1533</v>
      </c>
      <c r="D13" s="39" t="s">
        <v>1669</v>
      </c>
      <c r="E13" s="39" t="s">
        <v>1507</v>
      </c>
      <c r="F13" s="39" t="s">
        <v>397</v>
      </c>
      <c r="G13" s="39" t="s">
        <v>1534</v>
      </c>
      <c r="H13" s="39" t="s">
        <v>1534</v>
      </c>
      <c r="I13" s="40">
        <v>43.511500000000005</v>
      </c>
      <c r="L13" s="39" t="s">
        <v>102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400.0</v>
      </c>
      <c r="AE13" s="39">
        <v>1.0</v>
      </c>
    </row>
    <row r="14">
      <c r="A14" s="20" t="s">
        <v>1535</v>
      </c>
      <c r="D14" s="39" t="s">
        <v>1669</v>
      </c>
      <c r="E14" s="39" t="s">
        <v>1507</v>
      </c>
      <c r="F14" s="39" t="s">
        <v>397</v>
      </c>
      <c r="G14" s="39" t="s">
        <v>1536</v>
      </c>
      <c r="H14" s="39" t="s">
        <v>1536</v>
      </c>
      <c r="I14" s="40">
        <v>42.593500000000006</v>
      </c>
      <c r="L14" s="39" t="s">
        <v>102</v>
      </c>
      <c r="N14" s="39" t="s">
        <v>67</v>
      </c>
      <c r="O14" s="39" t="s">
        <v>81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350.0</v>
      </c>
      <c r="AE14" s="39">
        <v>1.0</v>
      </c>
    </row>
    <row r="15">
      <c r="A15" s="20" t="s">
        <v>1537</v>
      </c>
      <c r="D15" s="39" t="s">
        <v>1669</v>
      </c>
      <c r="E15" s="39" t="s">
        <v>1507</v>
      </c>
      <c r="F15" s="39" t="s">
        <v>397</v>
      </c>
      <c r="G15" s="39" t="s">
        <v>662</v>
      </c>
      <c r="I15" s="40">
        <v>41.7175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400.0</v>
      </c>
      <c r="AE15" s="39">
        <v>1.0</v>
      </c>
    </row>
    <row r="16">
      <c r="A16" s="20" t="s">
        <v>1538</v>
      </c>
      <c r="D16" s="39" t="s">
        <v>1669</v>
      </c>
      <c r="E16" s="39" t="s">
        <v>1507</v>
      </c>
      <c r="F16" s="39" t="s">
        <v>397</v>
      </c>
      <c r="G16" s="39" t="s">
        <v>1539</v>
      </c>
      <c r="H16" s="39" t="s">
        <v>1539</v>
      </c>
      <c r="I16" s="40">
        <v>40.718500000000006</v>
      </c>
      <c r="L16" s="39" t="s">
        <v>102</v>
      </c>
      <c r="N16" s="39" t="s">
        <v>67</v>
      </c>
      <c r="O16" s="39" t="s">
        <v>81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400.0</v>
      </c>
      <c r="AE16" s="39">
        <v>1.0</v>
      </c>
    </row>
    <row r="17">
      <c r="A17" s="20" t="s">
        <v>1540</v>
      </c>
      <c r="D17" s="39" t="s">
        <v>1669</v>
      </c>
      <c r="E17" s="39" t="s">
        <v>1507</v>
      </c>
      <c r="F17" s="39" t="s">
        <v>397</v>
      </c>
      <c r="G17" s="39" t="s">
        <v>1541</v>
      </c>
      <c r="H17" s="39" t="s">
        <v>1541</v>
      </c>
      <c r="I17" s="40">
        <v>39.719500000000004</v>
      </c>
      <c r="L17" s="39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350.0</v>
      </c>
      <c r="AE17" s="39">
        <v>1.0</v>
      </c>
    </row>
    <row r="18">
      <c r="A18" s="20" t="s">
        <v>1542</v>
      </c>
      <c r="D18" s="39" t="s">
        <v>1669</v>
      </c>
      <c r="E18" s="39" t="s">
        <v>1507</v>
      </c>
      <c r="F18" s="39" t="s">
        <v>397</v>
      </c>
      <c r="G18" s="39" t="s">
        <v>662</v>
      </c>
      <c r="I18" s="40">
        <v>39.2385</v>
      </c>
      <c r="L18" s="39" t="s">
        <v>102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400.0</v>
      </c>
      <c r="AE18" s="39">
        <v>1.0</v>
      </c>
    </row>
    <row r="19">
      <c r="A19" s="20" t="s">
        <v>1543</v>
      </c>
      <c r="D19" s="39" t="s">
        <v>1669</v>
      </c>
      <c r="E19" s="39" t="s">
        <v>1507</v>
      </c>
      <c r="F19" s="39" t="s">
        <v>397</v>
      </c>
      <c r="G19" s="39" t="s">
        <v>1544</v>
      </c>
      <c r="H19" s="39" t="s">
        <v>1544</v>
      </c>
      <c r="I19" s="40">
        <v>38.3355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350.0</v>
      </c>
      <c r="AE19" s="39">
        <v>1.0</v>
      </c>
    </row>
    <row r="20">
      <c r="A20" s="20" t="s">
        <v>1545</v>
      </c>
      <c r="B20" s="39" t="s">
        <v>1597</v>
      </c>
      <c r="C20" s="39" t="s">
        <v>1598</v>
      </c>
      <c r="D20" s="39" t="s">
        <v>1669</v>
      </c>
      <c r="E20" s="39" t="s">
        <v>1507</v>
      </c>
      <c r="F20" s="39" t="s">
        <v>397</v>
      </c>
      <c r="G20" s="39" t="s">
        <v>1546</v>
      </c>
      <c r="H20" s="39" t="s">
        <v>1546</v>
      </c>
      <c r="I20" s="40">
        <v>37.40050000000001</v>
      </c>
      <c r="L20" s="2" t="s">
        <v>66</v>
      </c>
      <c r="N20" s="39" t="s">
        <v>67</v>
      </c>
      <c r="O20" s="39" t="s">
        <v>81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500.0</v>
      </c>
      <c r="AE20" s="39">
        <v>1.0</v>
      </c>
    </row>
    <row r="21">
      <c r="A21" s="20" t="s">
        <v>1547</v>
      </c>
      <c r="B21" s="39" t="s">
        <v>1597</v>
      </c>
      <c r="C21" s="39" t="s">
        <v>1598</v>
      </c>
      <c r="D21" s="39" t="s">
        <v>1669</v>
      </c>
      <c r="E21" s="39" t="s">
        <v>1507</v>
      </c>
      <c r="F21" s="39" t="s">
        <v>397</v>
      </c>
      <c r="G21" s="39" t="s">
        <v>1548</v>
      </c>
      <c r="H21" s="39" t="s">
        <v>1548</v>
      </c>
      <c r="I21" s="40">
        <v>36.654500000000006</v>
      </c>
      <c r="L21" s="2" t="s">
        <v>66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1.0</v>
      </c>
      <c r="W21" s="39">
        <v>1.0</v>
      </c>
      <c r="X21" s="39">
        <v>0.0</v>
      </c>
      <c r="Y21" s="39">
        <v>1.0</v>
      </c>
      <c r="Z21" s="30" t="s">
        <v>1549</v>
      </c>
      <c r="AA21" s="30" t="s">
        <v>97</v>
      </c>
      <c r="AC21" s="39">
        <v>300.0</v>
      </c>
      <c r="AE21" s="39">
        <v>1.0</v>
      </c>
    </row>
    <row r="22">
      <c r="A22" s="20" t="s">
        <v>1550</v>
      </c>
      <c r="D22" s="39" t="s">
        <v>1669</v>
      </c>
      <c r="E22" s="39" t="s">
        <v>1507</v>
      </c>
      <c r="F22" s="39" t="s">
        <v>397</v>
      </c>
      <c r="G22" s="39" t="s">
        <v>1551</v>
      </c>
      <c r="H22" s="39" t="s">
        <v>1551</v>
      </c>
      <c r="I22" s="40">
        <v>35.53450000000001</v>
      </c>
      <c r="L22" s="39" t="s">
        <v>102</v>
      </c>
      <c r="N22" s="39" t="s">
        <v>67</v>
      </c>
      <c r="O22" s="39" t="s">
        <v>67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250.0</v>
      </c>
      <c r="AE22" s="39">
        <v>1.0</v>
      </c>
    </row>
    <row r="23">
      <c r="A23" s="20" t="s">
        <v>1552</v>
      </c>
      <c r="D23" s="39" t="s">
        <v>1669</v>
      </c>
      <c r="E23" s="39" t="s">
        <v>1507</v>
      </c>
      <c r="F23" s="39" t="s">
        <v>397</v>
      </c>
      <c r="G23" s="39" t="s">
        <v>1553</v>
      </c>
      <c r="H23" s="39" t="s">
        <v>1553</v>
      </c>
      <c r="I23" s="40">
        <v>34.9795</v>
      </c>
      <c r="L23" s="39" t="s">
        <v>102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250.0</v>
      </c>
      <c r="AE23" s="39">
        <v>1.0</v>
      </c>
    </row>
    <row r="24">
      <c r="A24" s="20" t="s">
        <v>1554</v>
      </c>
      <c r="B24" s="39" t="s">
        <v>262</v>
      </c>
      <c r="C24" s="39" t="s">
        <v>263</v>
      </c>
      <c r="D24" s="39" t="s">
        <v>1669</v>
      </c>
      <c r="E24" s="39" t="s">
        <v>1507</v>
      </c>
      <c r="F24" s="39" t="s">
        <v>397</v>
      </c>
      <c r="G24" s="39" t="s">
        <v>1555</v>
      </c>
      <c r="H24" s="39" t="s">
        <v>1555</v>
      </c>
      <c r="I24" s="40">
        <v>34.2295</v>
      </c>
      <c r="L24" s="2" t="s">
        <v>66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1.0</v>
      </c>
      <c r="W24" s="39">
        <v>0.0</v>
      </c>
      <c r="X24" s="39">
        <v>0.0</v>
      </c>
      <c r="Y24" s="39">
        <v>1.0</v>
      </c>
      <c r="Z24" s="30" t="s">
        <v>1556</v>
      </c>
      <c r="AA24" s="30" t="s">
        <v>97</v>
      </c>
      <c r="AC24" s="39">
        <v>300.0</v>
      </c>
      <c r="AE24" s="39">
        <v>1.0</v>
      </c>
    </row>
    <row r="25">
      <c r="A25" s="20" t="s">
        <v>1557</v>
      </c>
      <c r="B25" s="39" t="s">
        <v>262</v>
      </c>
      <c r="C25" s="39" t="s">
        <v>263</v>
      </c>
      <c r="D25" s="39" t="s">
        <v>1669</v>
      </c>
      <c r="E25" s="39" t="s">
        <v>1507</v>
      </c>
      <c r="F25" s="39" t="s">
        <v>397</v>
      </c>
      <c r="G25" s="39" t="s">
        <v>144</v>
      </c>
      <c r="I25" s="40">
        <v>33.41250000000001</v>
      </c>
      <c r="L25" s="2" t="s">
        <v>66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1.0</v>
      </c>
      <c r="W25" s="39">
        <v>1.0</v>
      </c>
      <c r="X25" s="39">
        <v>0.0</v>
      </c>
      <c r="Y25" s="39">
        <v>2.0</v>
      </c>
      <c r="Z25" s="30" t="s">
        <v>1558</v>
      </c>
      <c r="AA25" s="30" t="s">
        <v>315</v>
      </c>
      <c r="AE25" s="39">
        <v>1.0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1669</v>
      </c>
      <c r="B2" s="39" t="s">
        <v>1507</v>
      </c>
      <c r="C2" s="39" t="s">
        <v>397</v>
      </c>
      <c r="H2" s="39">
        <v>30.0</v>
      </c>
      <c r="O2" s="39" t="s">
        <v>1671</v>
      </c>
    </row>
    <row r="3">
      <c r="A3" s="39" t="s">
        <v>1669</v>
      </c>
      <c r="B3" s="39" t="s">
        <v>1507</v>
      </c>
      <c r="C3" s="39" t="s">
        <v>397</v>
      </c>
      <c r="H3" s="39">
        <v>30.0</v>
      </c>
      <c r="O3" s="39" t="s">
        <v>1673</v>
      </c>
    </row>
    <row r="4">
      <c r="A4" s="39" t="s">
        <v>1669</v>
      </c>
      <c r="B4" s="39" t="s">
        <v>1507</v>
      </c>
      <c r="C4" s="39" t="s">
        <v>397</v>
      </c>
      <c r="H4" s="39">
        <v>50.0</v>
      </c>
      <c r="O4" s="39" t="s">
        <v>1677</v>
      </c>
    </row>
    <row r="5">
      <c r="A5" s="39" t="s">
        <v>1669</v>
      </c>
      <c r="B5" s="39" t="s">
        <v>1507</v>
      </c>
      <c r="C5" s="39" t="s">
        <v>397</v>
      </c>
      <c r="H5" s="39">
        <v>30.0</v>
      </c>
      <c r="O5" s="39" t="s">
        <v>1678</v>
      </c>
    </row>
    <row r="6">
      <c r="A6" s="39" t="s">
        <v>1669</v>
      </c>
      <c r="B6" s="39" t="s">
        <v>1507</v>
      </c>
      <c r="C6" s="39" t="s">
        <v>397</v>
      </c>
      <c r="H6" s="39">
        <v>70.0</v>
      </c>
      <c r="O6" s="39" t="s">
        <v>1524</v>
      </c>
    </row>
    <row r="7">
      <c r="A7" s="39" t="s">
        <v>1669</v>
      </c>
      <c r="B7" s="39" t="s">
        <v>1507</v>
      </c>
      <c r="C7" s="39" t="s">
        <v>397</v>
      </c>
      <c r="H7" s="39">
        <v>65.0</v>
      </c>
      <c r="O7" s="39" t="s">
        <v>1529</v>
      </c>
    </row>
    <row r="8">
      <c r="A8" s="39" t="s">
        <v>1669</v>
      </c>
      <c r="B8" s="39" t="s">
        <v>1507</v>
      </c>
      <c r="C8" s="39" t="s">
        <v>397</v>
      </c>
      <c r="H8" s="39">
        <v>50.0</v>
      </c>
      <c r="O8" s="39" t="s">
        <v>1530</v>
      </c>
    </row>
    <row r="9">
      <c r="A9" s="39" t="s">
        <v>1669</v>
      </c>
      <c r="B9" s="39" t="s">
        <v>1507</v>
      </c>
      <c r="C9" s="39" t="s">
        <v>397</v>
      </c>
      <c r="H9" s="39">
        <v>75.0</v>
      </c>
      <c r="O9" s="39" t="s">
        <v>1584</v>
      </c>
    </row>
    <row r="10">
      <c r="A10" s="39" t="s">
        <v>1669</v>
      </c>
      <c r="B10" s="39" t="s">
        <v>1507</v>
      </c>
      <c r="C10" s="39" t="s">
        <v>397</v>
      </c>
      <c r="H10" s="39">
        <v>50.0</v>
      </c>
      <c r="O10" s="39" t="s">
        <v>1679</v>
      </c>
    </row>
    <row r="11">
      <c r="A11" s="39" t="s">
        <v>1669</v>
      </c>
      <c r="B11" s="39" t="s">
        <v>1507</v>
      </c>
      <c r="C11" s="39" t="s">
        <v>397</v>
      </c>
      <c r="H11" s="39">
        <v>70.0</v>
      </c>
      <c r="O11" s="39" t="s">
        <v>1680</v>
      </c>
    </row>
    <row r="12">
      <c r="A12" s="39" t="s">
        <v>1669</v>
      </c>
      <c r="B12" s="39" t="s">
        <v>1507</v>
      </c>
      <c r="C12" s="39" t="s">
        <v>397</v>
      </c>
      <c r="H12" s="39">
        <v>20.0</v>
      </c>
      <c r="O12" s="39" t="s">
        <v>1681</v>
      </c>
    </row>
    <row r="16">
      <c r="A16" s="2" t="s">
        <v>1649</v>
      </c>
      <c r="B16" s="2" t="s">
        <v>1507</v>
      </c>
      <c r="C16" s="2" t="s">
        <v>397</v>
      </c>
      <c r="D16" s="2"/>
      <c r="E16" s="2"/>
      <c r="F16" s="68">
        <v>51.66</v>
      </c>
      <c r="G16" s="68">
        <v>51.4</v>
      </c>
      <c r="H16" s="59">
        <v>65.0</v>
      </c>
      <c r="I16" s="2"/>
      <c r="J16" s="2"/>
      <c r="K16" s="2"/>
      <c r="L16" s="2"/>
      <c r="M16" s="58" t="s">
        <v>1560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1649</v>
      </c>
      <c r="B17" s="2" t="s">
        <v>1507</v>
      </c>
      <c r="C17" s="2" t="s">
        <v>397</v>
      </c>
      <c r="D17" s="2"/>
      <c r="E17" s="2"/>
      <c r="F17" s="68">
        <v>50.23</v>
      </c>
      <c r="G17" s="68">
        <v>50.11</v>
      </c>
      <c r="H17" s="59">
        <v>70.0</v>
      </c>
      <c r="I17" s="2"/>
      <c r="J17" s="2"/>
      <c r="K17" s="2"/>
      <c r="L17" s="2"/>
      <c r="M17" s="58" t="s">
        <v>1561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1649</v>
      </c>
      <c r="B18" s="2" t="s">
        <v>1507</v>
      </c>
      <c r="C18" s="2" t="s">
        <v>397</v>
      </c>
      <c r="D18" s="2"/>
      <c r="E18" s="2"/>
      <c r="F18" s="68">
        <v>48.06</v>
      </c>
      <c r="G18" s="68">
        <v>48.0</v>
      </c>
      <c r="H18" s="59">
        <v>50.0</v>
      </c>
      <c r="I18" s="2"/>
      <c r="J18" s="2"/>
      <c r="K18" s="2"/>
      <c r="L18" s="2"/>
      <c r="M18" s="58" t="s">
        <v>1562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1649</v>
      </c>
      <c r="B19" s="2" t="s">
        <v>1507</v>
      </c>
      <c r="C19" s="2" t="s">
        <v>397</v>
      </c>
      <c r="D19" s="2"/>
      <c r="E19" s="2"/>
      <c r="F19" s="68">
        <v>47.84</v>
      </c>
      <c r="G19" s="68">
        <v>47.81</v>
      </c>
      <c r="H19" s="59">
        <v>50.0</v>
      </c>
      <c r="I19" s="2"/>
      <c r="J19" s="2"/>
      <c r="K19" s="2"/>
      <c r="L19" s="2"/>
      <c r="M19" s="58" t="s">
        <v>1562</v>
      </c>
      <c r="N19" s="2"/>
      <c r="O19" s="20" t="s">
        <v>1522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1649</v>
      </c>
      <c r="B20" s="2" t="s">
        <v>1507</v>
      </c>
      <c r="C20" s="2" t="s">
        <v>397</v>
      </c>
      <c r="D20" s="2"/>
      <c r="E20" s="2"/>
      <c r="F20" s="69">
        <v>42.43</v>
      </c>
      <c r="G20" s="69">
        <v>42.09</v>
      </c>
      <c r="H20" s="61">
        <v>50.0</v>
      </c>
      <c r="I20" s="2"/>
      <c r="J20" s="2"/>
      <c r="K20" s="2"/>
      <c r="L20" s="2"/>
      <c r="M20" s="60" t="s">
        <v>1573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39" t="s">
        <v>377</v>
      </c>
      <c r="B1" s="39" t="s">
        <v>378</v>
      </c>
    </row>
    <row r="2">
      <c r="A2" s="39" t="s">
        <v>1648</v>
      </c>
      <c r="B2" s="39" t="s">
        <v>1668</v>
      </c>
    </row>
    <row r="3">
      <c r="A3" s="39" t="s">
        <v>1647</v>
      </c>
      <c r="B3" s="39" t="s">
        <v>1673</v>
      </c>
    </row>
    <row r="4">
      <c r="A4" s="39" t="s">
        <v>1581</v>
      </c>
      <c r="B4" s="39" t="s">
        <v>1677</v>
      </c>
    </row>
    <row r="5">
      <c r="A5" s="39" t="s">
        <v>1582</v>
      </c>
      <c r="B5" s="39" t="s">
        <v>1529</v>
      </c>
    </row>
    <row r="6">
      <c r="A6" s="39" t="s">
        <v>1583</v>
      </c>
      <c r="B6" s="39" t="s">
        <v>1584</v>
      </c>
    </row>
    <row r="7">
      <c r="A7" s="39" t="s">
        <v>1585</v>
      </c>
      <c r="B7" s="39" t="s">
        <v>1586</v>
      </c>
    </row>
    <row r="8">
      <c r="A8" s="39" t="s">
        <v>1587</v>
      </c>
      <c r="B8" s="39" t="s">
        <v>1588</v>
      </c>
    </row>
    <row r="9">
      <c r="A9" s="39" t="s">
        <v>1589</v>
      </c>
      <c r="B9" s="39" t="s">
        <v>1547</v>
      </c>
    </row>
    <row r="10">
      <c r="A10" s="39" t="s">
        <v>1590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1682</v>
      </c>
      <c r="B2" s="39" t="s">
        <v>1417</v>
      </c>
      <c r="C2" s="39" t="s">
        <v>1418</v>
      </c>
      <c r="D2" s="39" t="s">
        <v>1683</v>
      </c>
      <c r="E2" s="39" t="s">
        <v>1684</v>
      </c>
      <c r="F2" s="39" t="s">
        <v>397</v>
      </c>
      <c r="G2" s="39" t="s">
        <v>76</v>
      </c>
      <c r="I2" s="40">
        <v>67.721</v>
      </c>
      <c r="L2" s="39" t="s">
        <v>1685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2">
        <v>0.0</v>
      </c>
      <c r="V2" s="32">
        <v>0.0</v>
      </c>
      <c r="W2" s="32">
        <v>0.0</v>
      </c>
      <c r="X2" s="32">
        <v>0.0</v>
      </c>
      <c r="Y2" s="32">
        <v>0.0</v>
      </c>
      <c r="AC2" s="39">
        <v>300.0</v>
      </c>
      <c r="AE2" s="39">
        <v>1.0</v>
      </c>
    </row>
    <row r="3">
      <c r="A3" s="39" t="s">
        <v>1686</v>
      </c>
      <c r="B3" s="39" t="s">
        <v>1417</v>
      </c>
      <c r="C3" s="39" t="s">
        <v>1418</v>
      </c>
      <c r="D3" s="39" t="s">
        <v>1683</v>
      </c>
      <c r="E3" s="39" t="s">
        <v>1684</v>
      </c>
      <c r="F3" s="39" t="s">
        <v>397</v>
      </c>
      <c r="G3" s="39" t="s">
        <v>80</v>
      </c>
      <c r="L3" s="39" t="s">
        <v>1685</v>
      </c>
      <c r="N3" s="39" t="s">
        <v>81</v>
      </c>
      <c r="O3" s="39" t="s">
        <v>68</v>
      </c>
      <c r="Q3" s="39">
        <v>1.0</v>
      </c>
      <c r="R3" s="39">
        <v>0.0</v>
      </c>
      <c r="S3" s="39">
        <v>0.0</v>
      </c>
      <c r="T3" s="39">
        <v>0.0</v>
      </c>
      <c r="U3" s="22">
        <v>0.0</v>
      </c>
      <c r="V3" s="22">
        <v>0.0</v>
      </c>
      <c r="W3" s="22">
        <v>0.0</v>
      </c>
      <c r="X3" s="22">
        <v>0.0</v>
      </c>
      <c r="Y3" s="22">
        <v>0.0</v>
      </c>
      <c r="AE3" s="39">
        <v>1.0</v>
      </c>
    </row>
    <row r="4">
      <c r="A4" s="39" t="s">
        <v>1687</v>
      </c>
      <c r="B4" s="39" t="s">
        <v>1417</v>
      </c>
      <c r="C4" s="39" t="s">
        <v>1418</v>
      </c>
      <c r="D4" s="39" t="s">
        <v>1683</v>
      </c>
      <c r="E4" s="39" t="s">
        <v>1684</v>
      </c>
      <c r="F4" s="39" t="s">
        <v>397</v>
      </c>
      <c r="G4" s="39" t="s">
        <v>85</v>
      </c>
      <c r="L4" s="39" t="s">
        <v>1685</v>
      </c>
      <c r="N4" s="39" t="s">
        <v>81</v>
      </c>
      <c r="O4" s="39" t="s">
        <v>68</v>
      </c>
      <c r="Q4" s="39">
        <v>1.0</v>
      </c>
      <c r="R4" s="39">
        <v>0.0</v>
      </c>
      <c r="S4" s="39">
        <v>0.0</v>
      </c>
      <c r="T4" s="39">
        <v>0.0</v>
      </c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AC4" s="39">
        <v>200.0</v>
      </c>
      <c r="AE4" s="39">
        <v>1.0</v>
      </c>
    </row>
    <row r="5">
      <c r="A5" s="39" t="s">
        <v>1688</v>
      </c>
      <c r="B5" s="39" t="s">
        <v>1417</v>
      </c>
      <c r="C5" s="39" t="s">
        <v>1418</v>
      </c>
      <c r="D5" s="39" t="s">
        <v>1683</v>
      </c>
      <c r="E5" s="39" t="s">
        <v>1684</v>
      </c>
      <c r="F5" s="39" t="s">
        <v>397</v>
      </c>
      <c r="G5" s="39" t="s">
        <v>1689</v>
      </c>
      <c r="L5" s="39" t="s">
        <v>1685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22">
        <v>0.0</v>
      </c>
      <c r="V5" s="22">
        <v>0.0</v>
      </c>
      <c r="W5" s="22">
        <v>0.0</v>
      </c>
      <c r="X5" s="22">
        <v>0.0</v>
      </c>
      <c r="Y5" s="22">
        <v>0.0</v>
      </c>
      <c r="AC5" s="39">
        <v>700.0</v>
      </c>
      <c r="AE5" s="39">
        <v>1.0</v>
      </c>
    </row>
    <row r="6">
      <c r="A6" s="39" t="s">
        <v>1690</v>
      </c>
      <c r="B6" s="39" t="s">
        <v>1417</v>
      </c>
      <c r="C6" s="39" t="s">
        <v>1418</v>
      </c>
      <c r="D6" s="39" t="s">
        <v>1683</v>
      </c>
      <c r="E6" s="39" t="s">
        <v>1684</v>
      </c>
      <c r="F6" s="39" t="s">
        <v>397</v>
      </c>
      <c r="G6" s="39" t="s">
        <v>1691</v>
      </c>
      <c r="L6" s="39" t="s">
        <v>1685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AE6" s="39">
        <v>1.0</v>
      </c>
    </row>
    <row r="7">
      <c r="A7" s="39" t="s">
        <v>1692</v>
      </c>
      <c r="B7" s="39" t="s">
        <v>1417</v>
      </c>
      <c r="C7" s="39" t="s">
        <v>1418</v>
      </c>
      <c r="D7" s="39" t="s">
        <v>1683</v>
      </c>
      <c r="E7" s="39" t="s">
        <v>1684</v>
      </c>
      <c r="F7" s="39" t="s">
        <v>397</v>
      </c>
      <c r="G7" s="39" t="s">
        <v>1693</v>
      </c>
      <c r="H7" s="39" t="s">
        <v>1693</v>
      </c>
      <c r="I7" s="40">
        <v>67.021</v>
      </c>
      <c r="L7" s="2" t="s">
        <v>66</v>
      </c>
      <c r="N7" s="39" t="s">
        <v>67</v>
      </c>
      <c r="O7" s="39" t="s">
        <v>81</v>
      </c>
      <c r="Q7" s="39">
        <v>0.0</v>
      </c>
      <c r="R7" s="39">
        <v>0.0</v>
      </c>
      <c r="S7" s="39">
        <v>1.0</v>
      </c>
      <c r="T7" s="39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AC7" s="39">
        <v>240.0</v>
      </c>
      <c r="AE7" s="39">
        <v>1.0</v>
      </c>
    </row>
    <row r="8">
      <c r="A8" s="39" t="s">
        <v>1694</v>
      </c>
      <c r="D8" s="39" t="s">
        <v>1683</v>
      </c>
      <c r="E8" s="39" t="s">
        <v>1684</v>
      </c>
      <c r="F8" s="39" t="s">
        <v>397</v>
      </c>
      <c r="G8" s="39" t="s">
        <v>1695</v>
      </c>
      <c r="H8" s="39" t="s">
        <v>1695</v>
      </c>
      <c r="I8" s="40">
        <v>66.021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AC8" s="39">
        <v>600.0</v>
      </c>
      <c r="AE8" s="39">
        <v>1.0</v>
      </c>
    </row>
    <row r="9">
      <c r="A9" s="39" t="s">
        <v>1696</v>
      </c>
      <c r="D9" s="39" t="s">
        <v>1683</v>
      </c>
      <c r="E9" s="39" t="s">
        <v>1684</v>
      </c>
      <c r="F9" s="39" t="s">
        <v>397</v>
      </c>
      <c r="G9" s="39" t="s">
        <v>1697</v>
      </c>
      <c r="H9" s="39" t="s">
        <v>1697</v>
      </c>
      <c r="I9" s="40">
        <v>64.921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AC9" s="39">
        <v>600.0</v>
      </c>
      <c r="AE9" s="39">
        <v>1.0</v>
      </c>
    </row>
    <row r="10">
      <c r="A10" s="39" t="s">
        <v>1698</v>
      </c>
      <c r="B10" s="39" t="s">
        <v>1699</v>
      </c>
      <c r="C10" s="39" t="s">
        <v>1700</v>
      </c>
      <c r="D10" s="39" t="s">
        <v>1683</v>
      </c>
      <c r="E10" s="39" t="s">
        <v>1684</v>
      </c>
      <c r="F10" s="39" t="s">
        <v>397</v>
      </c>
      <c r="G10" s="39" t="s">
        <v>1701</v>
      </c>
      <c r="H10" s="39" t="s">
        <v>1701</v>
      </c>
      <c r="I10" s="40">
        <v>63.921</v>
      </c>
      <c r="L10" s="30" t="s">
        <v>66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1.0</v>
      </c>
      <c r="W10" s="39">
        <v>0.0</v>
      </c>
      <c r="X10" s="39">
        <v>2.0</v>
      </c>
      <c r="Y10" s="39">
        <v>1.0</v>
      </c>
      <c r="Z10" s="39" t="s">
        <v>1702</v>
      </c>
      <c r="AA10" s="30" t="s">
        <v>1703</v>
      </c>
      <c r="AC10" s="39">
        <v>700.0</v>
      </c>
      <c r="AE10" s="39">
        <v>1.0</v>
      </c>
    </row>
    <row r="11">
      <c r="A11" s="39" t="s">
        <v>1704</v>
      </c>
      <c r="B11" s="39" t="s">
        <v>1699</v>
      </c>
      <c r="C11" s="39" t="s">
        <v>1700</v>
      </c>
      <c r="D11" s="39" t="s">
        <v>1683</v>
      </c>
      <c r="E11" s="39" t="s">
        <v>1684</v>
      </c>
      <c r="F11" s="39" t="s">
        <v>397</v>
      </c>
      <c r="G11" s="39" t="s">
        <v>1705</v>
      </c>
      <c r="H11" s="39" t="s">
        <v>1705</v>
      </c>
      <c r="I11" s="40">
        <v>62.621</v>
      </c>
      <c r="L11" s="2" t="s">
        <v>66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700.0</v>
      </c>
      <c r="AE11" s="39">
        <v>1.0</v>
      </c>
    </row>
    <row r="12">
      <c r="A12" s="39" t="s">
        <v>1706</v>
      </c>
      <c r="B12" s="39" t="s">
        <v>1699</v>
      </c>
      <c r="C12" s="39" t="s">
        <v>1700</v>
      </c>
      <c r="D12" s="39" t="s">
        <v>1683</v>
      </c>
      <c r="E12" s="39" t="s">
        <v>1684</v>
      </c>
      <c r="F12" s="39" t="s">
        <v>397</v>
      </c>
      <c r="G12" s="39" t="s">
        <v>1705</v>
      </c>
      <c r="H12" s="39" t="s">
        <v>1705</v>
      </c>
      <c r="L12" s="39" t="s">
        <v>1685</v>
      </c>
      <c r="N12" s="39" t="s">
        <v>67</v>
      </c>
      <c r="O12" s="39" t="s">
        <v>81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300.0</v>
      </c>
      <c r="AE12" s="39">
        <v>1.0</v>
      </c>
    </row>
    <row r="13">
      <c r="A13" s="39" t="s">
        <v>1707</v>
      </c>
      <c r="B13" s="39" t="s">
        <v>1699</v>
      </c>
      <c r="C13" s="39" t="s">
        <v>1700</v>
      </c>
      <c r="D13" s="39" t="s">
        <v>1683</v>
      </c>
      <c r="E13" s="39" t="s">
        <v>1684</v>
      </c>
      <c r="F13" s="39" t="s">
        <v>397</v>
      </c>
      <c r="G13" s="39" t="s">
        <v>1705</v>
      </c>
      <c r="H13" s="39" t="s">
        <v>1705</v>
      </c>
      <c r="L13" s="39" t="s">
        <v>1685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E13" s="39">
        <v>1.0</v>
      </c>
    </row>
    <row r="14">
      <c r="A14" s="39" t="s">
        <v>1708</v>
      </c>
      <c r="B14" s="39" t="s">
        <v>1699</v>
      </c>
      <c r="C14" s="39" t="s">
        <v>1700</v>
      </c>
      <c r="D14" s="39" t="s">
        <v>1683</v>
      </c>
      <c r="E14" s="39" t="s">
        <v>1684</v>
      </c>
      <c r="F14" s="39" t="s">
        <v>397</v>
      </c>
      <c r="G14" s="39" t="s">
        <v>1709</v>
      </c>
      <c r="H14" s="39" t="s">
        <v>1709</v>
      </c>
      <c r="I14" s="40">
        <v>61.921</v>
      </c>
      <c r="L14" s="2" t="s">
        <v>66</v>
      </c>
      <c r="N14" s="39" t="s">
        <v>67</v>
      </c>
      <c r="O14" s="39" t="s">
        <v>67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400.0</v>
      </c>
      <c r="AE14" s="39">
        <v>1.0</v>
      </c>
    </row>
    <row r="15">
      <c r="A15" s="39" t="s">
        <v>1710</v>
      </c>
      <c r="B15" s="39" t="s">
        <v>1699</v>
      </c>
      <c r="C15" s="39" t="s">
        <v>1700</v>
      </c>
      <c r="D15" s="39" t="s">
        <v>1683</v>
      </c>
      <c r="E15" s="39" t="s">
        <v>1684</v>
      </c>
      <c r="F15" s="39" t="s">
        <v>397</v>
      </c>
      <c r="G15" s="39" t="s">
        <v>1711</v>
      </c>
      <c r="H15" s="39" t="s">
        <v>1711</v>
      </c>
      <c r="I15" s="40">
        <v>61.021</v>
      </c>
      <c r="L15" s="2" t="s">
        <v>66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650.0</v>
      </c>
      <c r="AE15" s="39">
        <v>1.0</v>
      </c>
    </row>
    <row r="16">
      <c r="A16" s="39" t="s">
        <v>1712</v>
      </c>
      <c r="D16" s="39" t="s">
        <v>1683</v>
      </c>
      <c r="E16" s="39" t="s">
        <v>1684</v>
      </c>
      <c r="F16" s="39" t="s">
        <v>397</v>
      </c>
      <c r="G16" s="39" t="s">
        <v>1713</v>
      </c>
      <c r="H16" s="39" t="s">
        <v>1713</v>
      </c>
      <c r="I16" s="40">
        <v>60.021</v>
      </c>
      <c r="L16" s="39" t="s">
        <v>102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700.0</v>
      </c>
      <c r="AE16" s="39">
        <v>1.0</v>
      </c>
    </row>
    <row r="17">
      <c r="A17" s="39" t="s">
        <v>1714</v>
      </c>
      <c r="D17" s="39" t="s">
        <v>1683</v>
      </c>
      <c r="E17" s="39" t="s">
        <v>1684</v>
      </c>
      <c r="F17" s="39" t="s">
        <v>397</v>
      </c>
      <c r="G17" s="39" t="s">
        <v>1715</v>
      </c>
      <c r="H17" s="39" t="s">
        <v>1715</v>
      </c>
      <c r="I17" s="40">
        <v>59.121</v>
      </c>
      <c r="L17" s="39" t="s">
        <v>1716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650.0</v>
      </c>
      <c r="AE17" s="39">
        <v>1.0</v>
      </c>
    </row>
    <row r="18">
      <c r="A18" s="39" t="s">
        <v>1717</v>
      </c>
      <c r="B18" s="39" t="s">
        <v>1718</v>
      </c>
      <c r="C18" s="39" t="s">
        <v>1719</v>
      </c>
      <c r="D18" s="39" t="s">
        <v>1683</v>
      </c>
      <c r="E18" s="39" t="s">
        <v>1684</v>
      </c>
      <c r="F18" s="39" t="s">
        <v>397</v>
      </c>
      <c r="G18" s="39" t="s">
        <v>1720</v>
      </c>
      <c r="H18" s="39" t="s">
        <v>1720</v>
      </c>
      <c r="I18" s="40">
        <v>57.921</v>
      </c>
      <c r="L18" s="39" t="s">
        <v>1685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1.0</v>
      </c>
      <c r="W18" s="39">
        <v>0.0</v>
      </c>
      <c r="X18" s="39">
        <v>1.0</v>
      </c>
      <c r="Y18" s="39">
        <v>1.0</v>
      </c>
      <c r="Z18" s="39" t="s">
        <v>1721</v>
      </c>
      <c r="AA18" s="30" t="s">
        <v>411</v>
      </c>
      <c r="AC18" s="39">
        <v>450.0</v>
      </c>
      <c r="AE18" s="39">
        <v>1.0</v>
      </c>
    </row>
    <row r="19">
      <c r="A19" s="39" t="s">
        <v>1722</v>
      </c>
      <c r="B19" s="39" t="s">
        <v>1718</v>
      </c>
      <c r="C19" s="39" t="s">
        <v>1719</v>
      </c>
      <c r="D19" s="39" t="s">
        <v>1683</v>
      </c>
      <c r="E19" s="39" t="s">
        <v>1684</v>
      </c>
      <c r="F19" s="39" t="s">
        <v>397</v>
      </c>
      <c r="G19" s="39" t="s">
        <v>1723</v>
      </c>
      <c r="H19" s="39" t="s">
        <v>1723</v>
      </c>
      <c r="I19" s="40">
        <v>56.721000000000004</v>
      </c>
      <c r="L19" s="2" t="s">
        <v>66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1000.0</v>
      </c>
      <c r="AE19" s="39">
        <v>1.0</v>
      </c>
    </row>
    <row r="20">
      <c r="A20" s="39" t="s">
        <v>1724</v>
      </c>
      <c r="B20" s="39" t="s">
        <v>1718</v>
      </c>
      <c r="C20" s="39" t="s">
        <v>1719</v>
      </c>
      <c r="D20" s="39" t="s">
        <v>1683</v>
      </c>
      <c r="E20" s="39" t="s">
        <v>1684</v>
      </c>
      <c r="F20" s="39" t="s">
        <v>397</v>
      </c>
      <c r="G20" s="39" t="s">
        <v>1723</v>
      </c>
      <c r="H20" s="39" t="s">
        <v>1723</v>
      </c>
      <c r="L20" s="39" t="s">
        <v>1685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1.0</v>
      </c>
      <c r="X20" s="39">
        <v>0.0</v>
      </c>
      <c r="Y20" s="39">
        <v>0.0</v>
      </c>
      <c r="AC20" s="39">
        <v>400.0</v>
      </c>
      <c r="AE20" s="39">
        <v>1.0</v>
      </c>
    </row>
    <row r="21">
      <c r="A21" s="39" t="s">
        <v>1725</v>
      </c>
      <c r="B21" s="39" t="s">
        <v>1718</v>
      </c>
      <c r="C21" s="39" t="s">
        <v>1719</v>
      </c>
      <c r="D21" s="39" t="s">
        <v>1683</v>
      </c>
      <c r="E21" s="39" t="s">
        <v>1684</v>
      </c>
      <c r="F21" s="39" t="s">
        <v>397</v>
      </c>
      <c r="G21" s="39" t="s">
        <v>1723</v>
      </c>
      <c r="H21" s="39" t="s">
        <v>1723</v>
      </c>
      <c r="L21" s="39" t="s">
        <v>1685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E21" s="39">
        <v>1.0</v>
      </c>
    </row>
    <row r="22">
      <c r="A22" s="39" t="s">
        <v>1726</v>
      </c>
      <c r="B22" s="39" t="s">
        <v>1718</v>
      </c>
      <c r="C22" s="39" t="s">
        <v>1719</v>
      </c>
      <c r="D22" s="39" t="s">
        <v>1683</v>
      </c>
      <c r="E22" s="39" t="s">
        <v>1684</v>
      </c>
      <c r="F22" s="39" t="s">
        <v>397</v>
      </c>
      <c r="G22" s="39" t="s">
        <v>1727</v>
      </c>
      <c r="H22" s="39" t="s">
        <v>1727</v>
      </c>
      <c r="I22" s="40">
        <v>56.121</v>
      </c>
      <c r="L22" s="39" t="s">
        <v>1685</v>
      </c>
      <c r="N22" s="39" t="s">
        <v>67</v>
      </c>
      <c r="O22" s="39" t="s">
        <v>81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550.0</v>
      </c>
      <c r="AE22" s="39">
        <v>1.0</v>
      </c>
    </row>
    <row r="23">
      <c r="A23" s="39" t="s">
        <v>1728</v>
      </c>
      <c r="B23" s="39" t="s">
        <v>1718</v>
      </c>
      <c r="C23" s="39" t="s">
        <v>1719</v>
      </c>
      <c r="D23" s="39" t="s">
        <v>1683</v>
      </c>
      <c r="E23" s="39" t="s">
        <v>1684</v>
      </c>
      <c r="F23" s="39" t="s">
        <v>397</v>
      </c>
      <c r="G23" s="39" t="s">
        <v>1729</v>
      </c>
      <c r="H23" s="39" t="s">
        <v>1729</v>
      </c>
      <c r="I23" s="40">
        <v>55.221000000000004</v>
      </c>
      <c r="L23" s="2" t="s">
        <v>66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450.0</v>
      </c>
      <c r="AE23" s="39">
        <v>1.0</v>
      </c>
    </row>
    <row r="24">
      <c r="A24" s="39" t="s">
        <v>1730</v>
      </c>
      <c r="D24" s="39" t="s">
        <v>1683</v>
      </c>
      <c r="E24" s="39" t="s">
        <v>1684</v>
      </c>
      <c r="F24" s="39" t="s">
        <v>397</v>
      </c>
      <c r="G24" s="39" t="s">
        <v>1731</v>
      </c>
      <c r="H24" s="39" t="s">
        <v>1731</v>
      </c>
      <c r="I24" s="40">
        <v>54.121</v>
      </c>
      <c r="L24" s="39" t="s">
        <v>102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650.0</v>
      </c>
      <c r="AE24" s="39">
        <v>1.0</v>
      </c>
    </row>
    <row r="25">
      <c r="A25" s="39" t="s">
        <v>1732</v>
      </c>
      <c r="D25" s="39" t="s">
        <v>1683</v>
      </c>
      <c r="E25" s="39" t="s">
        <v>1684</v>
      </c>
      <c r="F25" s="39" t="s">
        <v>397</v>
      </c>
      <c r="G25" s="39" t="s">
        <v>1733</v>
      </c>
      <c r="H25" s="39" t="s">
        <v>1733</v>
      </c>
      <c r="I25" s="40">
        <v>53.121</v>
      </c>
      <c r="L25" s="39" t="s">
        <v>1716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350.0</v>
      </c>
      <c r="AE25" s="39">
        <v>1.0</v>
      </c>
    </row>
    <row r="26">
      <c r="A26" s="39" t="s">
        <v>1734</v>
      </c>
      <c r="D26" s="39" t="s">
        <v>1683</v>
      </c>
      <c r="E26" s="39" t="s">
        <v>1684</v>
      </c>
      <c r="F26" s="39" t="s">
        <v>397</v>
      </c>
      <c r="G26" s="39" t="s">
        <v>1735</v>
      </c>
      <c r="H26" s="39" t="s">
        <v>1735</v>
      </c>
      <c r="I26" s="40">
        <v>52.221000000000004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600.0</v>
      </c>
      <c r="AE26" s="39">
        <v>1.0</v>
      </c>
    </row>
    <row r="27">
      <c r="A27" s="39" t="s">
        <v>1736</v>
      </c>
      <c r="D27" s="39" t="s">
        <v>1683</v>
      </c>
      <c r="E27" s="39" t="s">
        <v>1684</v>
      </c>
      <c r="F27" s="39" t="s">
        <v>397</v>
      </c>
      <c r="G27" s="39" t="s">
        <v>1737</v>
      </c>
      <c r="H27" s="39" t="s">
        <v>1737</v>
      </c>
      <c r="I27" s="40">
        <v>51.421</v>
      </c>
      <c r="L27" s="39" t="s">
        <v>102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550.0</v>
      </c>
      <c r="AE27" s="39">
        <v>1.0</v>
      </c>
    </row>
    <row r="28">
      <c r="A28" s="39" t="s">
        <v>1738</v>
      </c>
      <c r="D28" s="39" t="s">
        <v>1683</v>
      </c>
      <c r="E28" s="39" t="s">
        <v>1684</v>
      </c>
      <c r="F28" s="39" t="s">
        <v>397</v>
      </c>
      <c r="G28" s="39" t="s">
        <v>1739</v>
      </c>
      <c r="H28" s="39" t="s">
        <v>1739</v>
      </c>
      <c r="I28" s="40">
        <v>50.421</v>
      </c>
      <c r="L28" s="39" t="s">
        <v>102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500.0</v>
      </c>
      <c r="AE28" s="39">
        <v>1.0</v>
      </c>
    </row>
    <row r="29">
      <c r="A29" s="39" t="s">
        <v>1740</v>
      </c>
      <c r="B29" s="39" t="s">
        <v>1741</v>
      </c>
      <c r="C29" s="39" t="s">
        <v>1742</v>
      </c>
      <c r="D29" s="39" t="s">
        <v>1683</v>
      </c>
      <c r="E29" s="39" t="s">
        <v>1684</v>
      </c>
      <c r="F29" s="39" t="s">
        <v>397</v>
      </c>
      <c r="G29" s="39" t="s">
        <v>1743</v>
      </c>
      <c r="H29" s="39" t="s">
        <v>1743</v>
      </c>
      <c r="I29" s="40">
        <v>49.421</v>
      </c>
      <c r="L29" s="2" t="s">
        <v>66</v>
      </c>
      <c r="N29" s="39" t="s">
        <v>67</v>
      </c>
      <c r="O29" s="39" t="s">
        <v>67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1.0</v>
      </c>
      <c r="W29" s="39">
        <v>0.0</v>
      </c>
      <c r="X29" s="39">
        <v>1.0</v>
      </c>
      <c r="Y29" s="39">
        <v>1.0</v>
      </c>
      <c r="Z29" s="39" t="s">
        <v>1721</v>
      </c>
      <c r="AA29" s="30" t="s">
        <v>411</v>
      </c>
      <c r="AC29" s="39">
        <v>300.0</v>
      </c>
      <c r="AE29" s="39">
        <v>1.0</v>
      </c>
    </row>
    <row r="30">
      <c r="A30" s="39" t="s">
        <v>1744</v>
      </c>
      <c r="B30" s="39" t="s">
        <v>1741</v>
      </c>
      <c r="C30" s="39" t="s">
        <v>1742</v>
      </c>
      <c r="D30" s="39" t="s">
        <v>1683</v>
      </c>
      <c r="E30" s="39" t="s">
        <v>1684</v>
      </c>
      <c r="F30" s="39" t="s">
        <v>397</v>
      </c>
      <c r="G30" s="39" t="s">
        <v>1745</v>
      </c>
      <c r="H30" s="39" t="s">
        <v>1745</v>
      </c>
      <c r="I30" s="40">
        <v>48.121</v>
      </c>
      <c r="L30" s="2" t="s">
        <v>66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1000.0</v>
      </c>
      <c r="AE30" s="39">
        <v>1.0</v>
      </c>
    </row>
    <row r="31">
      <c r="A31" s="39" t="s">
        <v>1746</v>
      </c>
      <c r="B31" s="39" t="s">
        <v>1741</v>
      </c>
      <c r="C31" s="39" t="s">
        <v>1742</v>
      </c>
      <c r="D31" s="39" t="s">
        <v>1683</v>
      </c>
      <c r="E31" s="39" t="s">
        <v>1684</v>
      </c>
      <c r="F31" s="39" t="s">
        <v>397</v>
      </c>
      <c r="G31" s="39" t="s">
        <v>1745</v>
      </c>
      <c r="H31" s="39" t="s">
        <v>1745</v>
      </c>
      <c r="L31" s="39" t="s">
        <v>1685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400.0</v>
      </c>
      <c r="AE31" s="39">
        <v>1.0</v>
      </c>
    </row>
    <row r="32">
      <c r="A32" s="39" t="s">
        <v>1747</v>
      </c>
      <c r="B32" s="39" t="s">
        <v>1741</v>
      </c>
      <c r="C32" s="39" t="s">
        <v>1742</v>
      </c>
      <c r="D32" s="39" t="s">
        <v>1683</v>
      </c>
      <c r="E32" s="39" t="s">
        <v>1684</v>
      </c>
      <c r="F32" s="39" t="s">
        <v>397</v>
      </c>
      <c r="G32" s="39" t="s">
        <v>1745</v>
      </c>
      <c r="H32" s="39" t="s">
        <v>1745</v>
      </c>
      <c r="L32" s="39" t="s">
        <v>1685</v>
      </c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E32" s="39">
        <v>1.0</v>
      </c>
    </row>
    <row r="33">
      <c r="A33" s="39" t="s">
        <v>1748</v>
      </c>
      <c r="B33" s="39" t="s">
        <v>1741</v>
      </c>
      <c r="C33" s="39" t="s">
        <v>1742</v>
      </c>
      <c r="D33" s="39" t="s">
        <v>1683</v>
      </c>
      <c r="E33" s="39" t="s">
        <v>1684</v>
      </c>
      <c r="F33" s="39" t="s">
        <v>397</v>
      </c>
      <c r="G33" s="39" t="s">
        <v>1749</v>
      </c>
      <c r="H33" s="39" t="s">
        <v>1749</v>
      </c>
      <c r="I33" s="40">
        <v>47.821</v>
      </c>
      <c r="L33" s="2" t="s">
        <v>66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350.0</v>
      </c>
      <c r="AE33" s="39">
        <v>1.0</v>
      </c>
    </row>
    <row r="34">
      <c r="A34" s="39" t="s">
        <v>1750</v>
      </c>
      <c r="D34" s="39" t="s">
        <v>1683</v>
      </c>
      <c r="E34" s="39" t="s">
        <v>1684</v>
      </c>
      <c r="F34" s="39" t="s">
        <v>397</v>
      </c>
      <c r="G34" s="39" t="s">
        <v>1751</v>
      </c>
      <c r="H34" s="39" t="s">
        <v>1751</v>
      </c>
      <c r="I34" s="40">
        <v>46.921</v>
      </c>
      <c r="L34" s="30" t="s">
        <v>102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900.0</v>
      </c>
      <c r="AE34" s="39">
        <v>1.0</v>
      </c>
    </row>
    <row r="35">
      <c r="A35" s="39" t="s">
        <v>1752</v>
      </c>
      <c r="D35" s="39" t="s">
        <v>1683</v>
      </c>
      <c r="E35" s="39" t="s">
        <v>1684</v>
      </c>
      <c r="F35" s="39" t="s">
        <v>397</v>
      </c>
      <c r="G35" s="39" t="s">
        <v>1753</v>
      </c>
      <c r="H35" s="39" t="s">
        <v>1753</v>
      </c>
      <c r="I35" s="40">
        <v>45.821</v>
      </c>
      <c r="L35" s="39" t="s">
        <v>102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350.0</v>
      </c>
      <c r="AE35" s="39">
        <v>1.0</v>
      </c>
    </row>
    <row r="36">
      <c r="A36" s="39" t="s">
        <v>1714</v>
      </c>
      <c r="B36" s="39"/>
      <c r="C36" s="39"/>
      <c r="D36" s="39" t="s">
        <v>1683</v>
      </c>
      <c r="E36" s="39" t="s">
        <v>1684</v>
      </c>
      <c r="F36" s="39" t="s">
        <v>397</v>
      </c>
      <c r="G36" s="39"/>
      <c r="H36" s="39"/>
      <c r="I36" s="40">
        <v>45.221000000000004</v>
      </c>
      <c r="L36" s="30" t="s">
        <v>1716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900.0</v>
      </c>
      <c r="AE36" s="39">
        <v>1.0</v>
      </c>
    </row>
    <row r="37">
      <c r="A37" s="39" t="s">
        <v>1754</v>
      </c>
      <c r="B37" s="39" t="s">
        <v>1755</v>
      </c>
      <c r="C37" s="39" t="s">
        <v>1756</v>
      </c>
      <c r="D37" s="39" t="s">
        <v>1683</v>
      </c>
      <c r="E37" s="39" t="s">
        <v>1684</v>
      </c>
      <c r="F37" s="39" t="s">
        <v>397</v>
      </c>
      <c r="G37" s="39" t="s">
        <v>1757</v>
      </c>
      <c r="H37" s="39" t="s">
        <v>1757</v>
      </c>
      <c r="I37" s="40">
        <v>44.721000000000004</v>
      </c>
      <c r="L37" s="2" t="s">
        <v>66</v>
      </c>
      <c r="N37" s="39" t="s">
        <v>119</v>
      </c>
      <c r="O37" s="39" t="s">
        <v>67</v>
      </c>
      <c r="Q37" s="39">
        <v>0.0</v>
      </c>
      <c r="R37" s="39">
        <v>1.0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300.0</v>
      </c>
      <c r="AE37" s="39">
        <v>1.0</v>
      </c>
    </row>
    <row r="38">
      <c r="A38" s="39" t="s">
        <v>1758</v>
      </c>
      <c r="B38" s="39" t="s">
        <v>1755</v>
      </c>
      <c r="C38" s="39" t="s">
        <v>1756</v>
      </c>
      <c r="D38" s="39" t="s">
        <v>1683</v>
      </c>
      <c r="E38" s="39" t="s">
        <v>1684</v>
      </c>
      <c r="F38" s="39" t="s">
        <v>397</v>
      </c>
      <c r="G38" s="39" t="s">
        <v>1759</v>
      </c>
      <c r="H38" s="39" t="s">
        <v>1759</v>
      </c>
      <c r="I38" s="40">
        <v>44.221000000000004</v>
      </c>
      <c r="L38" s="2" t="s">
        <v>66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1.0</v>
      </c>
      <c r="W38" s="39">
        <v>0.0</v>
      </c>
      <c r="X38" s="39">
        <v>0.0</v>
      </c>
      <c r="Y38" s="39">
        <v>1.0</v>
      </c>
      <c r="Z38" s="39" t="s">
        <v>1760</v>
      </c>
      <c r="AA38" s="30" t="s">
        <v>97</v>
      </c>
      <c r="AC38" s="39">
        <v>250.0</v>
      </c>
      <c r="AE38" s="39">
        <v>1.0</v>
      </c>
    </row>
    <row r="39">
      <c r="A39" s="39" t="s">
        <v>1761</v>
      </c>
      <c r="B39" s="39" t="s">
        <v>872</v>
      </c>
      <c r="C39" s="39" t="s">
        <v>873</v>
      </c>
      <c r="D39" s="39" t="s">
        <v>1683</v>
      </c>
      <c r="E39" s="39" t="s">
        <v>1684</v>
      </c>
      <c r="F39" s="39" t="s">
        <v>397</v>
      </c>
      <c r="G39" s="39"/>
      <c r="I39" s="40">
        <v>43.29100000000001</v>
      </c>
      <c r="L39" s="30" t="s">
        <v>1685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1.0</v>
      </c>
      <c r="X39" s="39">
        <v>2.0</v>
      </c>
      <c r="Y39" s="39">
        <v>1.0</v>
      </c>
      <c r="Z39" s="39" t="s">
        <v>1762</v>
      </c>
      <c r="AA39" s="30" t="s">
        <v>1703</v>
      </c>
      <c r="AC39" s="39">
        <v>650.0</v>
      </c>
      <c r="AE39" s="39">
        <v>1.0</v>
      </c>
    </row>
    <row r="40">
      <c r="A40" s="39" t="s">
        <v>1763</v>
      </c>
      <c r="B40" s="39" t="s">
        <v>872</v>
      </c>
      <c r="C40" s="39" t="s">
        <v>873</v>
      </c>
      <c r="D40" s="39" t="s">
        <v>1683</v>
      </c>
      <c r="E40" s="39" t="s">
        <v>1684</v>
      </c>
      <c r="F40" s="39" t="s">
        <v>397</v>
      </c>
      <c r="G40" s="39" t="s">
        <v>80</v>
      </c>
      <c r="L40" s="2" t="s">
        <v>66</v>
      </c>
      <c r="N40" s="39" t="s">
        <v>81</v>
      </c>
      <c r="O40" s="39" t="s">
        <v>68</v>
      </c>
      <c r="Q40" s="39">
        <v>1.0</v>
      </c>
      <c r="R40" s="39">
        <v>0.0</v>
      </c>
      <c r="S40" s="39">
        <v>0.0</v>
      </c>
      <c r="T40" s="39">
        <v>0.0</v>
      </c>
      <c r="U40" s="39">
        <v>0.0</v>
      </c>
      <c r="V40" s="39">
        <v>1.0</v>
      </c>
      <c r="W40" s="39">
        <v>1.0</v>
      </c>
      <c r="X40" s="39">
        <v>0.0</v>
      </c>
      <c r="Y40" s="39">
        <v>0.0</v>
      </c>
      <c r="AE40" s="39">
        <v>1.0</v>
      </c>
    </row>
    <row r="41">
      <c r="A41" s="39" t="s">
        <v>1764</v>
      </c>
      <c r="B41" s="39" t="s">
        <v>872</v>
      </c>
      <c r="C41" s="39" t="s">
        <v>873</v>
      </c>
      <c r="D41" s="39" t="s">
        <v>1683</v>
      </c>
      <c r="E41" s="39" t="s">
        <v>1684</v>
      </c>
      <c r="F41" s="39" t="s">
        <v>397</v>
      </c>
      <c r="G41" s="39" t="s">
        <v>721</v>
      </c>
      <c r="L41" s="2" t="s">
        <v>66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1.0</v>
      </c>
      <c r="W41" s="39">
        <v>1.0</v>
      </c>
      <c r="X41" s="39">
        <v>0.0</v>
      </c>
      <c r="Y41" s="39">
        <v>2.0</v>
      </c>
      <c r="AC41" s="39">
        <v>400.0</v>
      </c>
      <c r="AE41" s="39">
        <v>1.0</v>
      </c>
    </row>
    <row r="42">
      <c r="A42" s="39" t="s">
        <v>1765</v>
      </c>
      <c r="B42" s="39" t="s">
        <v>872</v>
      </c>
      <c r="C42" s="39" t="s">
        <v>873</v>
      </c>
      <c r="D42" s="39" t="s">
        <v>1683</v>
      </c>
      <c r="E42" s="39" t="s">
        <v>1684</v>
      </c>
      <c r="F42" s="39" t="s">
        <v>397</v>
      </c>
      <c r="G42" s="39" t="s">
        <v>1766</v>
      </c>
      <c r="L42" s="2" t="s">
        <v>66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1.0</v>
      </c>
      <c r="W42" s="39">
        <v>1.0</v>
      </c>
      <c r="X42" s="39">
        <v>0.0</v>
      </c>
      <c r="Y42" s="39">
        <v>2.0</v>
      </c>
      <c r="AC42" s="39">
        <v>500.0</v>
      </c>
      <c r="AE42" s="39">
        <v>1.0</v>
      </c>
    </row>
    <row r="43">
      <c r="A43" s="39" t="s">
        <v>1767</v>
      </c>
      <c r="B43" s="39" t="s">
        <v>872</v>
      </c>
      <c r="C43" s="39" t="s">
        <v>873</v>
      </c>
      <c r="D43" s="39" t="s">
        <v>1683</v>
      </c>
      <c r="E43" s="39" t="s">
        <v>1684</v>
      </c>
      <c r="F43" s="39" t="s">
        <v>397</v>
      </c>
      <c r="G43" s="39" t="s">
        <v>1768</v>
      </c>
      <c r="L43" s="2" t="s">
        <v>66</v>
      </c>
      <c r="N43" s="39" t="s">
        <v>67</v>
      </c>
      <c r="O43" s="39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1.0</v>
      </c>
      <c r="W43" s="39">
        <v>1.0</v>
      </c>
      <c r="X43" s="39">
        <v>0.0</v>
      </c>
      <c r="Y43" s="39">
        <v>2.0</v>
      </c>
      <c r="AC43" s="39">
        <v>500.0</v>
      </c>
      <c r="AE43" s="39">
        <v>1.0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1769</v>
      </c>
      <c r="B2" s="39" t="s">
        <v>872</v>
      </c>
      <c r="C2" s="39" t="s">
        <v>873</v>
      </c>
      <c r="D2" s="39" t="s">
        <v>1770</v>
      </c>
      <c r="E2" s="39" t="s">
        <v>1771</v>
      </c>
      <c r="F2" s="39" t="s">
        <v>64</v>
      </c>
      <c r="G2" s="39" t="s">
        <v>80</v>
      </c>
      <c r="L2" s="39" t="s">
        <v>1685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1.0</v>
      </c>
      <c r="Y2" s="39">
        <v>1.0</v>
      </c>
      <c r="AC2" s="39">
        <v>450.0</v>
      </c>
      <c r="AE2" s="39">
        <v>1.0</v>
      </c>
    </row>
    <row r="3">
      <c r="A3" s="39" t="s">
        <v>1772</v>
      </c>
      <c r="B3" s="39" t="s">
        <v>872</v>
      </c>
      <c r="C3" s="39" t="s">
        <v>873</v>
      </c>
      <c r="D3" s="39" t="s">
        <v>1770</v>
      </c>
      <c r="E3" s="39" t="s">
        <v>1771</v>
      </c>
      <c r="F3" s="39" t="s">
        <v>64</v>
      </c>
      <c r="G3" s="39" t="s">
        <v>85</v>
      </c>
      <c r="I3" s="40">
        <v>42.382</v>
      </c>
      <c r="L3" s="39" t="s">
        <v>1685</v>
      </c>
      <c r="N3" s="39" t="s">
        <v>81</v>
      </c>
      <c r="O3" s="39" t="s">
        <v>68</v>
      </c>
      <c r="Q3" s="39">
        <v>1.0</v>
      </c>
      <c r="R3" s="39">
        <v>0.0</v>
      </c>
      <c r="S3" s="39">
        <v>0.0</v>
      </c>
      <c r="T3" s="39">
        <v>0.0</v>
      </c>
      <c r="U3" s="39">
        <v>0.0</v>
      </c>
      <c r="V3" s="39">
        <v>1.0</v>
      </c>
      <c r="W3" s="39">
        <v>1.0</v>
      </c>
      <c r="X3" s="39">
        <v>1.0</v>
      </c>
      <c r="Y3" s="39">
        <v>0.0</v>
      </c>
      <c r="Z3" s="30" t="s">
        <v>1773</v>
      </c>
      <c r="AA3" s="30" t="s">
        <v>115</v>
      </c>
      <c r="AC3" s="39">
        <v>450.0</v>
      </c>
      <c r="AE3" s="39">
        <v>1.0</v>
      </c>
    </row>
    <row r="4">
      <c r="A4" s="39" t="s">
        <v>1774</v>
      </c>
      <c r="B4" s="39" t="s">
        <v>872</v>
      </c>
      <c r="C4" s="39" t="s">
        <v>873</v>
      </c>
      <c r="D4" s="39" t="s">
        <v>1770</v>
      </c>
      <c r="E4" s="39" t="s">
        <v>1771</v>
      </c>
      <c r="F4" s="39" t="s">
        <v>64</v>
      </c>
      <c r="G4" s="39" t="s">
        <v>721</v>
      </c>
      <c r="L4" s="39" t="s">
        <v>1685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0.0</v>
      </c>
      <c r="X4" s="39">
        <v>0.0</v>
      </c>
      <c r="Y4" s="39">
        <v>0.0</v>
      </c>
      <c r="AC4" s="39">
        <v>200.0</v>
      </c>
      <c r="AE4" s="39">
        <v>1.0</v>
      </c>
    </row>
    <row r="5">
      <c r="A5" s="39" t="s">
        <v>1775</v>
      </c>
      <c r="B5" s="39" t="s">
        <v>872</v>
      </c>
      <c r="C5" s="39" t="s">
        <v>873</v>
      </c>
      <c r="D5" s="39" t="s">
        <v>1770</v>
      </c>
      <c r="E5" s="39" t="s">
        <v>1771</v>
      </c>
      <c r="F5" s="39" t="s">
        <v>64</v>
      </c>
      <c r="G5" s="39" t="s">
        <v>1766</v>
      </c>
      <c r="L5" s="39" t="s">
        <v>1685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AC5" s="39">
        <v>400.0</v>
      </c>
      <c r="AE5" s="39">
        <v>1.0</v>
      </c>
    </row>
    <row r="6">
      <c r="A6" s="39" t="s">
        <v>1776</v>
      </c>
      <c r="B6" s="39" t="s">
        <v>872</v>
      </c>
      <c r="C6" s="39" t="s">
        <v>873</v>
      </c>
      <c r="D6" s="39" t="s">
        <v>1770</v>
      </c>
      <c r="E6" s="39" t="s">
        <v>1771</v>
      </c>
      <c r="F6" s="39" t="s">
        <v>64</v>
      </c>
      <c r="G6" s="39" t="s">
        <v>1768</v>
      </c>
      <c r="L6" s="39" t="s">
        <v>1685</v>
      </c>
      <c r="N6" s="39" t="s">
        <v>81</v>
      </c>
      <c r="O6" s="39" t="s">
        <v>68</v>
      </c>
      <c r="Q6" s="39">
        <v>1.0</v>
      </c>
      <c r="R6" s="39">
        <v>0.0</v>
      </c>
      <c r="S6" s="39">
        <v>0.0</v>
      </c>
      <c r="T6" s="39">
        <v>0.0</v>
      </c>
      <c r="U6" s="39">
        <v>0.0</v>
      </c>
      <c r="AC6" s="39">
        <v>200.0</v>
      </c>
      <c r="AE6" s="39">
        <v>1.0</v>
      </c>
    </row>
    <row r="7">
      <c r="A7" s="39" t="s">
        <v>1777</v>
      </c>
      <c r="B7" s="39" t="s">
        <v>1755</v>
      </c>
      <c r="C7" s="39" t="s">
        <v>1756</v>
      </c>
      <c r="D7" s="39" t="s">
        <v>1770</v>
      </c>
      <c r="E7" s="39" t="s">
        <v>1771</v>
      </c>
      <c r="F7" s="39" t="s">
        <v>64</v>
      </c>
      <c r="G7" s="39" t="s">
        <v>1778</v>
      </c>
      <c r="H7" s="39" t="s">
        <v>1778</v>
      </c>
      <c r="I7" s="40">
        <v>43.26199999999999</v>
      </c>
      <c r="L7" s="39" t="s">
        <v>66</v>
      </c>
      <c r="N7" s="39" t="s">
        <v>67</v>
      </c>
      <c r="O7" s="39" t="s">
        <v>81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1.0</v>
      </c>
      <c r="W7" s="39">
        <v>0.0</v>
      </c>
      <c r="X7" s="39">
        <v>0.0</v>
      </c>
      <c r="Y7" s="39">
        <v>0.0</v>
      </c>
      <c r="AC7" s="39">
        <v>200.0</v>
      </c>
      <c r="AE7" s="39">
        <v>1.0</v>
      </c>
    </row>
    <row r="8">
      <c r="A8" s="39" t="s">
        <v>1779</v>
      </c>
      <c r="D8" s="39" t="s">
        <v>1770</v>
      </c>
      <c r="E8" s="39" t="s">
        <v>1771</v>
      </c>
      <c r="F8" s="39" t="s">
        <v>64</v>
      </c>
      <c r="G8" s="39" t="s">
        <v>1780</v>
      </c>
      <c r="H8" s="39" t="s">
        <v>1780</v>
      </c>
      <c r="I8" s="40">
        <v>44.702</v>
      </c>
      <c r="L8" s="39" t="s">
        <v>1716</v>
      </c>
      <c r="N8" s="39" t="s">
        <v>67</v>
      </c>
      <c r="O8" s="39" t="s">
        <v>81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250.0</v>
      </c>
      <c r="AE8" s="39">
        <v>1.0</v>
      </c>
    </row>
    <row r="9">
      <c r="A9" s="39" t="s">
        <v>1781</v>
      </c>
      <c r="D9" s="39" t="s">
        <v>1770</v>
      </c>
      <c r="E9" s="39" t="s">
        <v>1771</v>
      </c>
      <c r="F9" s="39" t="s">
        <v>64</v>
      </c>
      <c r="G9" s="39" t="s">
        <v>1782</v>
      </c>
      <c r="H9" s="39" t="s">
        <v>1782</v>
      </c>
      <c r="I9" s="40">
        <v>45.702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550.0</v>
      </c>
      <c r="AE9" s="39">
        <v>1.0</v>
      </c>
    </row>
    <row r="10">
      <c r="A10" s="39" t="s">
        <v>1783</v>
      </c>
      <c r="D10" s="39" t="s">
        <v>1770</v>
      </c>
      <c r="E10" s="39" t="s">
        <v>1771</v>
      </c>
      <c r="F10" s="39" t="s">
        <v>64</v>
      </c>
      <c r="G10" s="39" t="s">
        <v>1784</v>
      </c>
      <c r="H10" s="39" t="s">
        <v>1784</v>
      </c>
      <c r="I10" s="40">
        <v>46.602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900.0</v>
      </c>
      <c r="AE10" s="39">
        <v>1.0</v>
      </c>
    </row>
    <row r="11">
      <c r="A11" s="39" t="s">
        <v>1785</v>
      </c>
      <c r="B11" s="39" t="s">
        <v>1741</v>
      </c>
      <c r="C11" s="39" t="s">
        <v>1742</v>
      </c>
      <c r="D11" s="39" t="s">
        <v>1770</v>
      </c>
      <c r="E11" s="39" t="s">
        <v>1771</v>
      </c>
      <c r="F11" s="39" t="s">
        <v>64</v>
      </c>
      <c r="G11" s="39" t="s">
        <v>1786</v>
      </c>
      <c r="H11" s="39" t="s">
        <v>1786</v>
      </c>
      <c r="I11" s="40">
        <v>47.602</v>
      </c>
      <c r="L11" s="39" t="s">
        <v>66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1.0</v>
      </c>
      <c r="W11" s="39">
        <v>0.0</v>
      </c>
      <c r="X11" s="39">
        <v>1.0</v>
      </c>
      <c r="Y11" s="39">
        <v>0.0</v>
      </c>
      <c r="Z11" s="30" t="s">
        <v>1787</v>
      </c>
      <c r="AA11" s="30" t="s">
        <v>115</v>
      </c>
      <c r="AC11" s="39">
        <v>700.0</v>
      </c>
      <c r="AE11" s="39">
        <v>1.0</v>
      </c>
    </row>
    <row r="12">
      <c r="A12" s="39" t="s">
        <v>1788</v>
      </c>
      <c r="B12" s="39" t="s">
        <v>1741</v>
      </c>
      <c r="C12" s="39" t="s">
        <v>1742</v>
      </c>
      <c r="D12" s="39" t="s">
        <v>1770</v>
      </c>
      <c r="E12" s="39" t="s">
        <v>1771</v>
      </c>
      <c r="F12" s="39" t="s">
        <v>64</v>
      </c>
      <c r="G12" s="39" t="s">
        <v>1789</v>
      </c>
      <c r="H12" s="39" t="s">
        <v>1789</v>
      </c>
      <c r="I12" s="40">
        <v>48.80199999999999</v>
      </c>
      <c r="L12" s="39" t="s">
        <v>66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900.0</v>
      </c>
      <c r="AE12" s="39">
        <v>1.0</v>
      </c>
    </row>
    <row r="13">
      <c r="A13" s="39" t="s">
        <v>1790</v>
      </c>
      <c r="B13" s="39" t="s">
        <v>1741</v>
      </c>
      <c r="C13" s="39" t="s">
        <v>1742</v>
      </c>
      <c r="D13" s="39" t="s">
        <v>1770</v>
      </c>
      <c r="E13" s="39" t="s">
        <v>1771</v>
      </c>
      <c r="F13" s="39" t="s">
        <v>64</v>
      </c>
      <c r="G13" s="39" t="s">
        <v>1691</v>
      </c>
      <c r="L13" s="39" t="s">
        <v>1685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250.0</v>
      </c>
      <c r="AE13" s="39">
        <v>1.0</v>
      </c>
    </row>
    <row r="14">
      <c r="A14" s="39" t="s">
        <v>1791</v>
      </c>
      <c r="B14" s="39" t="s">
        <v>1741</v>
      </c>
      <c r="C14" s="39" t="s">
        <v>1742</v>
      </c>
      <c r="D14" s="39" t="s">
        <v>1770</v>
      </c>
      <c r="E14" s="39" t="s">
        <v>1771</v>
      </c>
      <c r="F14" s="39" t="s">
        <v>64</v>
      </c>
      <c r="G14" s="39" t="s">
        <v>1792</v>
      </c>
      <c r="H14" s="39" t="s">
        <v>1792</v>
      </c>
      <c r="I14" s="40">
        <v>49.30199999999999</v>
      </c>
      <c r="L14" s="39" t="s">
        <v>66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950.0</v>
      </c>
      <c r="AE14" s="39">
        <v>1.0</v>
      </c>
    </row>
    <row r="15">
      <c r="A15" s="39" t="s">
        <v>1793</v>
      </c>
      <c r="D15" s="39" t="s">
        <v>1770</v>
      </c>
      <c r="E15" s="39" t="s">
        <v>1771</v>
      </c>
      <c r="F15" s="39" t="s">
        <v>64</v>
      </c>
      <c r="G15" s="39" t="s">
        <v>1794</v>
      </c>
      <c r="H15" s="39" t="s">
        <v>1794</v>
      </c>
      <c r="I15" s="40">
        <v>50.202</v>
      </c>
      <c r="L15" s="39" t="s">
        <v>102</v>
      </c>
      <c r="N15" s="39" t="s">
        <v>67</v>
      </c>
      <c r="O15" s="39" t="s">
        <v>67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550.0</v>
      </c>
      <c r="AE15" s="39">
        <v>1.0</v>
      </c>
    </row>
    <row r="16">
      <c r="A16" s="39" t="s">
        <v>1795</v>
      </c>
      <c r="D16" s="39" t="s">
        <v>1770</v>
      </c>
      <c r="E16" s="39" t="s">
        <v>1771</v>
      </c>
      <c r="F16" s="39" t="s">
        <v>64</v>
      </c>
      <c r="G16" s="39" t="s">
        <v>1796</v>
      </c>
      <c r="H16" s="39" t="s">
        <v>1796</v>
      </c>
      <c r="I16" s="40">
        <v>50.901999999999994</v>
      </c>
      <c r="L16" s="39" t="s">
        <v>102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600.0</v>
      </c>
      <c r="AE16" s="39">
        <v>1.0</v>
      </c>
    </row>
    <row r="17">
      <c r="A17" s="39" t="s">
        <v>1797</v>
      </c>
      <c r="D17" s="39" t="s">
        <v>1770</v>
      </c>
      <c r="E17" s="39" t="s">
        <v>1771</v>
      </c>
      <c r="F17" s="39" t="s">
        <v>64</v>
      </c>
      <c r="G17" s="39" t="s">
        <v>1798</v>
      </c>
      <c r="H17" s="39" t="s">
        <v>1798</v>
      </c>
      <c r="I17" s="40">
        <v>51.80199999999999</v>
      </c>
      <c r="L17" s="39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900.0</v>
      </c>
      <c r="AE17" s="39">
        <v>1.0</v>
      </c>
    </row>
    <row r="18">
      <c r="A18" s="39" t="s">
        <v>1732</v>
      </c>
      <c r="D18" s="39" t="s">
        <v>1770</v>
      </c>
      <c r="E18" s="39" t="s">
        <v>1771</v>
      </c>
      <c r="F18" s="39" t="s">
        <v>64</v>
      </c>
      <c r="G18" s="39" t="s">
        <v>1799</v>
      </c>
      <c r="H18" s="39" t="s">
        <v>1799</v>
      </c>
      <c r="I18" s="40">
        <v>52.602</v>
      </c>
      <c r="L18" s="39" t="s">
        <v>1716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950.0</v>
      </c>
      <c r="AE18" s="39">
        <v>1.0</v>
      </c>
    </row>
    <row r="19">
      <c r="A19" s="39" t="s">
        <v>1800</v>
      </c>
      <c r="D19" s="39" t="s">
        <v>1770</v>
      </c>
      <c r="E19" s="39" t="s">
        <v>1771</v>
      </c>
      <c r="F19" s="39" t="s">
        <v>64</v>
      </c>
      <c r="G19" s="39" t="s">
        <v>1801</v>
      </c>
      <c r="H19" s="39" t="s">
        <v>1801</v>
      </c>
      <c r="I19" s="40">
        <v>53.602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550.0</v>
      </c>
      <c r="AE19" s="39">
        <v>1.0</v>
      </c>
    </row>
    <row r="20">
      <c r="A20" s="39" t="s">
        <v>1802</v>
      </c>
      <c r="D20" s="39" t="s">
        <v>1770</v>
      </c>
      <c r="E20" s="39" t="s">
        <v>1771</v>
      </c>
      <c r="F20" s="39" t="s">
        <v>64</v>
      </c>
      <c r="G20" s="39" t="s">
        <v>1803</v>
      </c>
      <c r="H20" s="39" t="s">
        <v>1803</v>
      </c>
      <c r="I20" s="40">
        <v>54.602</v>
      </c>
      <c r="L20" s="39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900.0</v>
      </c>
      <c r="AE20" s="39">
        <v>1.0</v>
      </c>
    </row>
    <row r="21">
      <c r="A21" s="39" t="s">
        <v>1804</v>
      </c>
      <c r="B21" s="39" t="s">
        <v>1718</v>
      </c>
      <c r="C21" s="39" t="s">
        <v>1719</v>
      </c>
      <c r="D21" s="39" t="s">
        <v>1770</v>
      </c>
      <c r="E21" s="39" t="s">
        <v>1771</v>
      </c>
      <c r="F21" s="39" t="s">
        <v>64</v>
      </c>
      <c r="G21" s="39" t="s">
        <v>1805</v>
      </c>
      <c r="H21" s="39" t="s">
        <v>1805</v>
      </c>
      <c r="I21" s="40">
        <v>55.602</v>
      </c>
      <c r="L21" s="39" t="s">
        <v>1685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Z21" s="30"/>
      <c r="AA21" s="30"/>
      <c r="AC21" s="39">
        <v>600.0</v>
      </c>
      <c r="AE21" s="39">
        <v>1.0</v>
      </c>
    </row>
    <row r="22">
      <c r="A22" s="39" t="s">
        <v>1806</v>
      </c>
      <c r="B22" s="39" t="s">
        <v>1718</v>
      </c>
      <c r="C22" s="39" t="s">
        <v>1719</v>
      </c>
      <c r="D22" s="39" t="s">
        <v>1770</v>
      </c>
      <c r="E22" s="39" t="s">
        <v>1771</v>
      </c>
      <c r="F22" s="39" t="s">
        <v>64</v>
      </c>
      <c r="G22" s="39" t="s">
        <v>1807</v>
      </c>
      <c r="H22" s="39" t="s">
        <v>1807</v>
      </c>
      <c r="I22" s="40">
        <v>56.102</v>
      </c>
      <c r="L22" s="39" t="s">
        <v>1685</v>
      </c>
      <c r="N22" s="39" t="s">
        <v>119</v>
      </c>
      <c r="O22" s="39" t="s">
        <v>67</v>
      </c>
      <c r="Q22" s="39">
        <v>0.0</v>
      </c>
      <c r="R22" s="39">
        <v>1.0</v>
      </c>
      <c r="S22" s="39">
        <v>0.0</v>
      </c>
      <c r="T22" s="39">
        <v>0.0</v>
      </c>
      <c r="U22" s="39">
        <v>0.0</v>
      </c>
      <c r="V22" s="39">
        <v>1.0</v>
      </c>
      <c r="W22" s="39">
        <v>0.0</v>
      </c>
      <c r="X22" s="39">
        <v>1.0</v>
      </c>
      <c r="Y22" s="39">
        <v>0.0</v>
      </c>
      <c r="Z22" s="30" t="s">
        <v>1787</v>
      </c>
      <c r="AA22" s="30" t="s">
        <v>115</v>
      </c>
      <c r="AC22" s="39">
        <v>1000.0</v>
      </c>
      <c r="AE22" s="39">
        <v>1.0</v>
      </c>
    </row>
    <row r="23">
      <c r="A23" s="39" t="s">
        <v>1808</v>
      </c>
      <c r="B23" s="39" t="s">
        <v>1718</v>
      </c>
      <c r="C23" s="39" t="s">
        <v>1719</v>
      </c>
      <c r="D23" s="39" t="s">
        <v>1770</v>
      </c>
      <c r="E23" s="39" t="s">
        <v>1771</v>
      </c>
      <c r="F23" s="39" t="s">
        <v>64</v>
      </c>
      <c r="G23" s="39" t="s">
        <v>1801</v>
      </c>
      <c r="H23" s="39" t="s">
        <v>1801</v>
      </c>
      <c r="L23" s="39" t="s">
        <v>66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700.0</v>
      </c>
      <c r="AE23" s="39">
        <v>1.0</v>
      </c>
    </row>
    <row r="24">
      <c r="A24" s="39" t="s">
        <v>1809</v>
      </c>
      <c r="B24" s="39" t="s">
        <v>1718</v>
      </c>
      <c r="C24" s="39" t="s">
        <v>1719</v>
      </c>
      <c r="D24" s="39" t="s">
        <v>1770</v>
      </c>
      <c r="E24" s="39" t="s">
        <v>1771</v>
      </c>
      <c r="F24" s="39" t="s">
        <v>64</v>
      </c>
      <c r="G24" s="39" t="s">
        <v>1803</v>
      </c>
      <c r="H24" s="39" t="s">
        <v>1803</v>
      </c>
      <c r="L24" s="39" t="s">
        <v>1685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200.0</v>
      </c>
      <c r="AE24" s="39">
        <v>1.0</v>
      </c>
    </row>
    <row r="25">
      <c r="A25" s="39" t="s">
        <v>1810</v>
      </c>
      <c r="B25" s="39" t="s">
        <v>1718</v>
      </c>
      <c r="C25" s="39" t="s">
        <v>1719</v>
      </c>
      <c r="D25" s="39" t="s">
        <v>1770</v>
      </c>
      <c r="E25" s="39" t="s">
        <v>1771</v>
      </c>
      <c r="F25" s="39" t="s">
        <v>64</v>
      </c>
      <c r="G25" s="39" t="s">
        <v>1811</v>
      </c>
      <c r="H25" s="39" t="s">
        <v>1811</v>
      </c>
      <c r="I25" s="40">
        <v>57.40199999999999</v>
      </c>
      <c r="L25" s="39" t="s">
        <v>66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900.0</v>
      </c>
      <c r="AE25" s="39">
        <v>1.0</v>
      </c>
    </row>
    <row r="26">
      <c r="A26" s="39" t="s">
        <v>1714</v>
      </c>
      <c r="D26" s="39" t="s">
        <v>1770</v>
      </c>
      <c r="E26" s="39" t="s">
        <v>1771</v>
      </c>
      <c r="F26" s="39" t="s">
        <v>64</v>
      </c>
      <c r="G26" s="39" t="s">
        <v>1812</v>
      </c>
      <c r="H26" s="39" t="s">
        <v>1812</v>
      </c>
      <c r="I26" s="40">
        <v>57.80199999999999</v>
      </c>
      <c r="L26" s="39" t="s">
        <v>1716</v>
      </c>
      <c r="N26" s="39" t="s">
        <v>67</v>
      </c>
      <c r="O26" s="39" t="s">
        <v>67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600.0</v>
      </c>
      <c r="AE26" s="39">
        <v>1.0</v>
      </c>
    </row>
    <row r="27">
      <c r="A27" s="39" t="s">
        <v>1813</v>
      </c>
      <c r="D27" s="39" t="s">
        <v>1770</v>
      </c>
      <c r="E27" s="39" t="s">
        <v>1771</v>
      </c>
      <c r="F27" s="39" t="s">
        <v>64</v>
      </c>
      <c r="G27" s="39" t="s">
        <v>1814</v>
      </c>
      <c r="H27" s="39" t="s">
        <v>1814</v>
      </c>
      <c r="I27" s="40">
        <v>58.60199999999999</v>
      </c>
      <c r="L27" s="39" t="s">
        <v>102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700.0</v>
      </c>
      <c r="AE27" s="39">
        <v>1.0</v>
      </c>
    </row>
    <row r="28">
      <c r="A28" s="39" t="s">
        <v>1815</v>
      </c>
      <c r="B28" s="39" t="s">
        <v>1699</v>
      </c>
      <c r="C28" s="39" t="s">
        <v>1700</v>
      </c>
      <c r="D28" s="39" t="s">
        <v>1770</v>
      </c>
      <c r="E28" s="39" t="s">
        <v>1771</v>
      </c>
      <c r="F28" s="39" t="s">
        <v>64</v>
      </c>
      <c r="G28" s="39" t="s">
        <v>1816</v>
      </c>
      <c r="H28" s="39" t="s">
        <v>1816</v>
      </c>
      <c r="I28" s="40">
        <v>59.90199999999999</v>
      </c>
      <c r="L28" s="39" t="s">
        <v>1685</v>
      </c>
      <c r="N28" s="39" t="s">
        <v>119</v>
      </c>
      <c r="O28" s="39" t="s">
        <v>68</v>
      </c>
      <c r="Q28" s="39">
        <v>0.0</v>
      </c>
      <c r="R28" s="39">
        <v>1.0</v>
      </c>
      <c r="S28" s="39">
        <v>0.0</v>
      </c>
      <c r="T28" s="39">
        <v>0.0</v>
      </c>
      <c r="U28" s="39">
        <v>0.0</v>
      </c>
      <c r="V28" s="39">
        <v>1.0</v>
      </c>
      <c r="W28" s="39">
        <v>0.0</v>
      </c>
      <c r="X28" s="39">
        <v>0.0</v>
      </c>
      <c r="Y28" s="39">
        <v>2.0</v>
      </c>
      <c r="Z28" s="30" t="s">
        <v>1817</v>
      </c>
      <c r="AA28" s="30" t="s">
        <v>315</v>
      </c>
      <c r="AC28" s="39">
        <v>650.0</v>
      </c>
      <c r="AE28" s="39">
        <v>1.0</v>
      </c>
    </row>
    <row r="29">
      <c r="A29" s="39" t="s">
        <v>1818</v>
      </c>
      <c r="B29" s="39" t="s">
        <v>1699</v>
      </c>
      <c r="C29" s="39" t="s">
        <v>1700</v>
      </c>
      <c r="D29" s="39" t="s">
        <v>1770</v>
      </c>
      <c r="E29" s="39" t="s">
        <v>1771</v>
      </c>
      <c r="F29" s="39" t="s">
        <v>64</v>
      </c>
      <c r="G29" s="39" t="s">
        <v>1819</v>
      </c>
      <c r="H29" s="39" t="s">
        <v>1819</v>
      </c>
      <c r="I29" s="40">
        <v>60.90199999999999</v>
      </c>
      <c r="L29" s="39" t="s">
        <v>1685</v>
      </c>
      <c r="N29" s="39" t="s">
        <v>67</v>
      </c>
      <c r="O29" s="39" t="s">
        <v>81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1.0</v>
      </c>
      <c r="W29" s="39">
        <v>0.0</v>
      </c>
      <c r="X29" s="39">
        <v>1.0</v>
      </c>
      <c r="Y29" s="39">
        <v>0.0</v>
      </c>
      <c r="Z29" s="2" t="s">
        <v>1787</v>
      </c>
      <c r="AA29" s="2" t="s">
        <v>115</v>
      </c>
      <c r="AC29" s="39">
        <v>700.0</v>
      </c>
      <c r="AE29" s="39">
        <v>1.0</v>
      </c>
    </row>
    <row r="30">
      <c r="A30" s="39" t="s">
        <v>1820</v>
      </c>
      <c r="B30" s="39" t="s">
        <v>1699</v>
      </c>
      <c r="C30" s="39" t="s">
        <v>1700</v>
      </c>
      <c r="D30" s="39" t="s">
        <v>1770</v>
      </c>
      <c r="E30" s="39" t="s">
        <v>1771</v>
      </c>
      <c r="F30" s="39" t="s">
        <v>64</v>
      </c>
      <c r="G30" s="39" t="s">
        <v>1821</v>
      </c>
      <c r="H30" s="39" t="s">
        <v>1821</v>
      </c>
      <c r="I30" s="40">
        <v>62.202</v>
      </c>
      <c r="L30" s="39" t="s">
        <v>1685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900.0</v>
      </c>
      <c r="AE30" s="39">
        <v>1.0</v>
      </c>
    </row>
    <row r="31">
      <c r="A31" s="39" t="s">
        <v>1822</v>
      </c>
      <c r="B31" s="39" t="s">
        <v>1699</v>
      </c>
      <c r="C31" s="39" t="s">
        <v>1700</v>
      </c>
      <c r="D31" s="39" t="s">
        <v>1770</v>
      </c>
      <c r="E31" s="39" t="s">
        <v>1771</v>
      </c>
      <c r="F31" s="39" t="s">
        <v>64</v>
      </c>
      <c r="G31" s="39" t="s">
        <v>1821</v>
      </c>
      <c r="H31" s="39" t="s">
        <v>1821</v>
      </c>
      <c r="I31" s="40">
        <v>63.301999999999985</v>
      </c>
      <c r="L31" s="39" t="s">
        <v>1685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210.0</v>
      </c>
      <c r="AE31" s="39">
        <v>1.0</v>
      </c>
    </row>
    <row r="32">
      <c r="A32" s="39" t="s">
        <v>1823</v>
      </c>
      <c r="B32" s="39" t="s">
        <v>1699</v>
      </c>
      <c r="C32" s="39" t="s">
        <v>1700</v>
      </c>
      <c r="D32" s="39" t="s">
        <v>1770</v>
      </c>
      <c r="E32" s="39" t="s">
        <v>1771</v>
      </c>
      <c r="F32" s="39" t="s">
        <v>64</v>
      </c>
      <c r="G32" s="39" t="s">
        <v>1824</v>
      </c>
      <c r="L32" s="39" t="s">
        <v>1685</v>
      </c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E32" s="39">
        <v>1.0</v>
      </c>
    </row>
    <row r="33">
      <c r="A33" s="39" t="s">
        <v>1825</v>
      </c>
      <c r="B33" s="39" t="s">
        <v>1699</v>
      </c>
      <c r="C33" s="39" t="s">
        <v>1700</v>
      </c>
      <c r="D33" s="39" t="s">
        <v>1770</v>
      </c>
      <c r="E33" s="39" t="s">
        <v>1771</v>
      </c>
      <c r="F33" s="39" t="s">
        <v>64</v>
      </c>
      <c r="G33" s="39" t="s">
        <v>1826</v>
      </c>
      <c r="H33" s="39" t="s">
        <v>1826</v>
      </c>
      <c r="I33" s="40">
        <v>63.801999999999985</v>
      </c>
      <c r="L33" s="39" t="s">
        <v>66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1000.0</v>
      </c>
      <c r="AE33" s="39">
        <v>1.0</v>
      </c>
    </row>
    <row r="34">
      <c r="A34" s="39" t="s">
        <v>1827</v>
      </c>
      <c r="D34" s="39" t="s">
        <v>1770</v>
      </c>
      <c r="E34" s="39" t="s">
        <v>1771</v>
      </c>
      <c r="F34" s="39" t="s">
        <v>64</v>
      </c>
      <c r="G34" s="39" t="s">
        <v>1828</v>
      </c>
      <c r="H34" s="39" t="s">
        <v>1828</v>
      </c>
      <c r="I34" s="40">
        <v>64.90199999999999</v>
      </c>
      <c r="L34" s="39" t="s">
        <v>102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900.0</v>
      </c>
      <c r="AE34" s="39">
        <v>1.0</v>
      </c>
    </row>
    <row r="35">
      <c r="A35" s="39" t="s">
        <v>1829</v>
      </c>
      <c r="D35" s="39" t="s">
        <v>1770</v>
      </c>
      <c r="E35" s="39" t="s">
        <v>1771</v>
      </c>
      <c r="F35" s="39" t="s">
        <v>64</v>
      </c>
      <c r="G35" s="39" t="s">
        <v>1830</v>
      </c>
      <c r="H35" s="39" t="s">
        <v>1830</v>
      </c>
      <c r="I35" s="40">
        <v>65.80199999999999</v>
      </c>
      <c r="L35" s="39" t="s">
        <v>102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600.0</v>
      </c>
      <c r="AE35" s="39">
        <v>1.0</v>
      </c>
    </row>
    <row r="36">
      <c r="A36" s="39" t="s">
        <v>1831</v>
      </c>
      <c r="B36" s="39" t="s">
        <v>1417</v>
      </c>
      <c r="C36" s="39" t="s">
        <v>1418</v>
      </c>
      <c r="D36" s="39" t="s">
        <v>1770</v>
      </c>
      <c r="E36" s="39" t="s">
        <v>1771</v>
      </c>
      <c r="F36" s="39" t="s">
        <v>64</v>
      </c>
      <c r="G36" s="39" t="s">
        <v>1832</v>
      </c>
      <c r="H36" s="39" t="s">
        <v>1832</v>
      </c>
      <c r="I36" s="40">
        <v>66.80199999999999</v>
      </c>
      <c r="L36" s="39" t="s">
        <v>1685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1.0</v>
      </c>
      <c r="W36" s="39">
        <v>0.0</v>
      </c>
      <c r="X36" s="39">
        <v>3.0</v>
      </c>
      <c r="Y36" s="39">
        <v>1.0</v>
      </c>
      <c r="Z36" s="30" t="s">
        <v>1833</v>
      </c>
      <c r="AA36" s="30" t="s">
        <v>1834</v>
      </c>
      <c r="AC36" s="39">
        <v>900.0</v>
      </c>
      <c r="AE36" s="39">
        <v>1.0</v>
      </c>
    </row>
    <row r="37">
      <c r="A37" s="39" t="s">
        <v>1835</v>
      </c>
      <c r="B37" s="39" t="s">
        <v>1417</v>
      </c>
      <c r="C37" s="39" t="s">
        <v>1418</v>
      </c>
      <c r="D37" s="39" t="s">
        <v>1770</v>
      </c>
      <c r="E37" s="39" t="s">
        <v>1771</v>
      </c>
      <c r="F37" s="39" t="s">
        <v>64</v>
      </c>
      <c r="G37" s="39" t="s">
        <v>85</v>
      </c>
      <c r="L37" s="39" t="s">
        <v>1685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2.0</v>
      </c>
      <c r="Z37" s="30" t="s">
        <v>1836</v>
      </c>
      <c r="AA37" s="30" t="s">
        <v>315</v>
      </c>
      <c r="AC37" s="39">
        <v>300.0</v>
      </c>
      <c r="AE37" s="39">
        <v>1.0</v>
      </c>
    </row>
    <row r="38">
      <c r="A38" s="39" t="s">
        <v>1837</v>
      </c>
      <c r="B38" s="39" t="s">
        <v>1417</v>
      </c>
      <c r="C38" s="39" t="s">
        <v>1418</v>
      </c>
      <c r="D38" s="39" t="s">
        <v>1770</v>
      </c>
      <c r="E38" s="39" t="s">
        <v>1771</v>
      </c>
      <c r="F38" s="39" t="s">
        <v>64</v>
      </c>
      <c r="G38" s="39" t="s">
        <v>80</v>
      </c>
      <c r="L38" s="39" t="s">
        <v>1685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1.0</v>
      </c>
      <c r="Y38" s="39">
        <v>1.0</v>
      </c>
      <c r="Z38" s="30" t="s">
        <v>1838</v>
      </c>
      <c r="AA38" s="30" t="s">
        <v>411</v>
      </c>
      <c r="AC38" s="39">
        <v>300.0</v>
      </c>
      <c r="AE38" s="39">
        <v>1.0</v>
      </c>
    </row>
    <row r="39">
      <c r="A39" s="39" t="s">
        <v>1839</v>
      </c>
      <c r="B39" s="39" t="s">
        <v>1417</v>
      </c>
      <c r="C39" s="39" t="s">
        <v>1418</v>
      </c>
      <c r="D39" s="39" t="s">
        <v>1770</v>
      </c>
      <c r="E39" s="39" t="s">
        <v>1771</v>
      </c>
      <c r="F39" s="39" t="s">
        <v>64</v>
      </c>
      <c r="G39" s="39" t="s">
        <v>76</v>
      </c>
      <c r="L39" s="39" t="s">
        <v>1685</v>
      </c>
      <c r="N39" s="39" t="s">
        <v>81</v>
      </c>
      <c r="O39" s="39" t="s">
        <v>68</v>
      </c>
      <c r="Q39" s="39">
        <v>1.0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1.0</v>
      </c>
      <c r="X39" s="39">
        <v>2.0</v>
      </c>
      <c r="Y39" s="39">
        <v>0.0</v>
      </c>
      <c r="Z39" s="30" t="s">
        <v>1840</v>
      </c>
      <c r="AA39" s="30" t="s">
        <v>78</v>
      </c>
      <c r="AE39" s="39">
        <v>1.0</v>
      </c>
    </row>
    <row r="40">
      <c r="A40" s="39" t="s">
        <v>1841</v>
      </c>
      <c r="B40" s="39" t="s">
        <v>1417</v>
      </c>
      <c r="C40" s="39" t="s">
        <v>1418</v>
      </c>
      <c r="D40" s="39" t="s">
        <v>1770</v>
      </c>
      <c r="E40" s="39" t="s">
        <v>1771</v>
      </c>
      <c r="F40" s="39" t="s">
        <v>64</v>
      </c>
      <c r="G40" s="39" t="s">
        <v>1691</v>
      </c>
      <c r="L40" s="39" t="s">
        <v>1685</v>
      </c>
      <c r="N40" s="39" t="s">
        <v>1842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1.0</v>
      </c>
      <c r="Y40" s="39">
        <v>1.0</v>
      </c>
      <c r="Z40" s="30" t="s">
        <v>1838</v>
      </c>
      <c r="AA40" s="30" t="s">
        <v>411</v>
      </c>
      <c r="AE40" s="39">
        <v>1.0</v>
      </c>
    </row>
    <row r="41">
      <c r="A41" s="39" t="s">
        <v>1843</v>
      </c>
      <c r="B41" s="39" t="s">
        <v>1417</v>
      </c>
      <c r="C41" s="39" t="s">
        <v>1418</v>
      </c>
      <c r="D41" s="39" t="s">
        <v>1770</v>
      </c>
      <c r="E41" s="39" t="s">
        <v>1771</v>
      </c>
      <c r="F41" s="39" t="s">
        <v>64</v>
      </c>
      <c r="G41" s="39" t="s">
        <v>1844</v>
      </c>
      <c r="L41" s="39" t="s">
        <v>1685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2.0</v>
      </c>
      <c r="Y41" s="39">
        <v>0.0</v>
      </c>
      <c r="Z41" s="30" t="s">
        <v>1840</v>
      </c>
      <c r="AA41" s="30" t="s">
        <v>78</v>
      </c>
      <c r="AE41" s="39">
        <v>1.0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374</v>
      </c>
      <c r="B2" s="39" t="s">
        <v>360</v>
      </c>
      <c r="C2" s="39" t="s">
        <v>361</v>
      </c>
      <c r="D2" s="39" t="s">
        <v>1845</v>
      </c>
      <c r="E2" s="39" t="s">
        <v>1771</v>
      </c>
      <c r="F2" s="39" t="s">
        <v>64</v>
      </c>
      <c r="G2" s="39" t="s">
        <v>72</v>
      </c>
      <c r="I2" s="40">
        <v>53.262</v>
      </c>
      <c r="L2" s="39" t="s">
        <v>1685</v>
      </c>
      <c r="N2" s="39" t="s">
        <v>81</v>
      </c>
      <c r="O2" s="30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1.0</v>
      </c>
      <c r="W2" s="39">
        <v>0.0</v>
      </c>
      <c r="X2" s="39">
        <v>1.0</v>
      </c>
      <c r="Y2" s="39">
        <v>0.0</v>
      </c>
      <c r="Z2" s="30" t="s">
        <v>1846</v>
      </c>
      <c r="AA2" s="30" t="s">
        <v>97</v>
      </c>
      <c r="AE2" s="39">
        <v>1.0</v>
      </c>
    </row>
    <row r="3">
      <c r="A3" s="39" t="s">
        <v>1847</v>
      </c>
      <c r="B3" s="39" t="s">
        <v>360</v>
      </c>
      <c r="C3" s="39" t="s">
        <v>361</v>
      </c>
      <c r="D3" s="39" t="s">
        <v>1845</v>
      </c>
      <c r="E3" s="39" t="s">
        <v>1771</v>
      </c>
      <c r="F3" s="39" t="s">
        <v>64</v>
      </c>
      <c r="G3" s="39" t="s">
        <v>1848</v>
      </c>
      <c r="H3" s="39" t="s">
        <v>1848</v>
      </c>
      <c r="I3" s="40">
        <v>54.451</v>
      </c>
      <c r="L3" s="39" t="s">
        <v>1685</v>
      </c>
      <c r="N3" s="39" t="s">
        <v>67</v>
      </c>
      <c r="O3" s="30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350.0</v>
      </c>
      <c r="AE3" s="39">
        <v>1.0</v>
      </c>
    </row>
    <row r="4">
      <c r="A4" s="39" t="s">
        <v>1849</v>
      </c>
      <c r="D4" s="39" t="s">
        <v>1845</v>
      </c>
      <c r="E4" s="39" t="s">
        <v>1771</v>
      </c>
      <c r="F4" s="39" t="s">
        <v>64</v>
      </c>
      <c r="G4" s="2" t="s">
        <v>1850</v>
      </c>
      <c r="H4" s="2" t="s">
        <v>1850</v>
      </c>
      <c r="I4" s="40">
        <v>55.412</v>
      </c>
      <c r="L4" s="39" t="s">
        <v>102</v>
      </c>
      <c r="N4" s="39" t="s">
        <v>67</v>
      </c>
      <c r="O4" s="30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400.0</v>
      </c>
      <c r="AE4" s="39">
        <v>1.0</v>
      </c>
    </row>
    <row r="5">
      <c r="A5" s="39" t="s">
        <v>1851</v>
      </c>
      <c r="D5" s="39" t="s">
        <v>1845</v>
      </c>
      <c r="E5" s="39" t="s">
        <v>1771</v>
      </c>
      <c r="F5" s="39" t="s">
        <v>64</v>
      </c>
      <c r="G5" s="2" t="s">
        <v>1852</v>
      </c>
      <c r="H5" s="2" t="s">
        <v>1852</v>
      </c>
      <c r="I5" s="40">
        <v>56.568</v>
      </c>
      <c r="L5" s="39" t="s">
        <v>102</v>
      </c>
      <c r="N5" s="39" t="s">
        <v>67</v>
      </c>
      <c r="O5" s="30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350.0</v>
      </c>
      <c r="AE5" s="39">
        <v>1.0</v>
      </c>
    </row>
    <row r="6">
      <c r="A6" s="39" t="s">
        <v>1853</v>
      </c>
      <c r="D6" s="39" t="s">
        <v>1845</v>
      </c>
      <c r="E6" s="39" t="s">
        <v>1771</v>
      </c>
      <c r="F6" s="39" t="s">
        <v>64</v>
      </c>
      <c r="G6" s="2" t="s">
        <v>1854</v>
      </c>
      <c r="H6" s="2" t="s">
        <v>1854</v>
      </c>
      <c r="I6" s="40">
        <v>57.326</v>
      </c>
      <c r="L6" s="39" t="s">
        <v>102</v>
      </c>
      <c r="N6" s="39" t="s">
        <v>67</v>
      </c>
      <c r="O6" s="30" t="s">
        <v>81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250.0</v>
      </c>
      <c r="AE6" s="39">
        <v>1.0</v>
      </c>
    </row>
    <row r="7">
      <c r="A7" s="39" t="s">
        <v>1855</v>
      </c>
      <c r="D7" s="39" t="s">
        <v>1845</v>
      </c>
      <c r="E7" s="39" t="s">
        <v>1771</v>
      </c>
      <c r="F7" s="39" t="s">
        <v>64</v>
      </c>
      <c r="G7" s="2" t="s">
        <v>1812</v>
      </c>
      <c r="H7" s="2" t="s">
        <v>1812</v>
      </c>
      <c r="I7" s="40">
        <v>58.471000000000004</v>
      </c>
      <c r="L7" s="39" t="s">
        <v>1716</v>
      </c>
      <c r="N7" s="39" t="s">
        <v>67</v>
      </c>
      <c r="O7" s="30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350.0</v>
      </c>
      <c r="AE7" s="39">
        <v>1.0</v>
      </c>
    </row>
    <row r="8">
      <c r="A8" s="39" t="s">
        <v>1856</v>
      </c>
      <c r="B8" s="39" t="s">
        <v>1857</v>
      </c>
      <c r="C8" s="39" t="s">
        <v>1858</v>
      </c>
      <c r="D8" s="39" t="s">
        <v>1845</v>
      </c>
      <c r="E8" s="39" t="s">
        <v>1771</v>
      </c>
      <c r="F8" s="39" t="s">
        <v>64</v>
      </c>
      <c r="G8" s="2" t="s">
        <v>1859</v>
      </c>
      <c r="H8" s="2" t="s">
        <v>1859</v>
      </c>
      <c r="I8" s="40">
        <v>59.015</v>
      </c>
      <c r="L8" s="39" t="s">
        <v>1685</v>
      </c>
      <c r="N8" s="39" t="s">
        <v>67</v>
      </c>
      <c r="O8" s="30" t="s">
        <v>81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1.0</v>
      </c>
      <c r="W8" s="39">
        <v>0.0</v>
      </c>
      <c r="X8" s="39">
        <v>0.0</v>
      </c>
      <c r="Y8" s="39">
        <v>2.0</v>
      </c>
      <c r="Z8" s="30" t="s">
        <v>748</v>
      </c>
      <c r="AA8" s="30" t="s">
        <v>315</v>
      </c>
      <c r="AC8" s="39">
        <v>300.0</v>
      </c>
      <c r="AE8" s="39">
        <v>1.0</v>
      </c>
    </row>
    <row r="9">
      <c r="A9" s="39" t="s">
        <v>1860</v>
      </c>
      <c r="B9" s="39" t="s">
        <v>1857</v>
      </c>
      <c r="C9" s="39" t="s">
        <v>1858</v>
      </c>
      <c r="D9" s="39" t="s">
        <v>1845</v>
      </c>
      <c r="E9" s="39" t="s">
        <v>1771</v>
      </c>
      <c r="F9" s="39" t="s">
        <v>64</v>
      </c>
      <c r="G9" s="39" t="s">
        <v>657</v>
      </c>
      <c r="I9" s="40">
        <v>59.795</v>
      </c>
      <c r="L9" s="39" t="s">
        <v>1685</v>
      </c>
      <c r="N9" s="39" t="s">
        <v>67</v>
      </c>
      <c r="O9" s="30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1.0</v>
      </c>
      <c r="W9" s="39">
        <v>1.0</v>
      </c>
      <c r="X9" s="39">
        <v>1.0</v>
      </c>
      <c r="Y9" s="39">
        <v>0.0</v>
      </c>
      <c r="Z9" s="30" t="s">
        <v>1861</v>
      </c>
      <c r="AA9" s="30" t="s">
        <v>115</v>
      </c>
      <c r="AC9" s="39">
        <v>400.0</v>
      </c>
      <c r="AE9" s="39">
        <v>1.0</v>
      </c>
    </row>
    <row r="10">
      <c r="A10" s="39" t="s">
        <v>1862</v>
      </c>
      <c r="B10" s="39" t="s">
        <v>1857</v>
      </c>
      <c r="C10" s="39" t="s">
        <v>1858</v>
      </c>
      <c r="D10" s="39" t="s">
        <v>1845</v>
      </c>
      <c r="E10" s="39" t="s">
        <v>1771</v>
      </c>
      <c r="F10" s="39" t="s">
        <v>64</v>
      </c>
      <c r="G10" s="2" t="s">
        <v>1863</v>
      </c>
      <c r="H10" s="2" t="s">
        <v>1863</v>
      </c>
      <c r="I10" s="40">
        <v>60.702</v>
      </c>
      <c r="L10" s="2" t="s">
        <v>66</v>
      </c>
      <c r="N10" s="39" t="s">
        <v>67</v>
      </c>
      <c r="O10" s="30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800.0</v>
      </c>
      <c r="AE10" s="39">
        <v>1.0</v>
      </c>
    </row>
    <row r="11">
      <c r="A11" s="39" t="s">
        <v>1864</v>
      </c>
      <c r="B11" s="39" t="s">
        <v>1857</v>
      </c>
      <c r="C11" s="39" t="s">
        <v>1858</v>
      </c>
      <c r="D11" s="39" t="s">
        <v>1845</v>
      </c>
      <c r="E11" s="39" t="s">
        <v>1771</v>
      </c>
      <c r="F11" s="39" t="s">
        <v>64</v>
      </c>
      <c r="G11" s="2" t="s">
        <v>1865</v>
      </c>
      <c r="H11" s="2" t="s">
        <v>1865</v>
      </c>
      <c r="I11" s="40">
        <v>61.442</v>
      </c>
      <c r="L11" s="2" t="s">
        <v>66</v>
      </c>
      <c r="N11" s="39" t="s">
        <v>67</v>
      </c>
      <c r="O11" s="30" t="s">
        <v>67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350.0</v>
      </c>
      <c r="AE11" s="39">
        <v>1.0</v>
      </c>
    </row>
    <row r="12">
      <c r="A12" s="39" t="s">
        <v>1866</v>
      </c>
      <c r="D12" s="39" t="s">
        <v>1845</v>
      </c>
      <c r="E12" s="39" t="s">
        <v>1771</v>
      </c>
      <c r="F12" s="39" t="s">
        <v>64</v>
      </c>
      <c r="G12" s="2" t="s">
        <v>1867</v>
      </c>
      <c r="H12" s="2" t="s">
        <v>1867</v>
      </c>
      <c r="I12" s="40">
        <v>62.168</v>
      </c>
      <c r="L12" s="39" t="s">
        <v>102</v>
      </c>
      <c r="N12" s="39" t="s">
        <v>67</v>
      </c>
      <c r="O12" s="30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550.0</v>
      </c>
      <c r="AE12" s="39">
        <v>1.0</v>
      </c>
    </row>
    <row r="13">
      <c r="A13" s="39" t="s">
        <v>1868</v>
      </c>
      <c r="D13" s="39" t="s">
        <v>1845</v>
      </c>
      <c r="E13" s="39" t="s">
        <v>1771</v>
      </c>
      <c r="F13" s="39" t="s">
        <v>64</v>
      </c>
      <c r="G13" s="2" t="s">
        <v>1869</v>
      </c>
      <c r="H13" s="2" t="s">
        <v>1869</v>
      </c>
      <c r="I13" s="40">
        <v>63.146</v>
      </c>
      <c r="L13" s="39" t="s">
        <v>1716</v>
      </c>
      <c r="N13" s="39" t="s">
        <v>67</v>
      </c>
      <c r="O13" s="30" t="s">
        <v>81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300.0</v>
      </c>
      <c r="AE13" s="39">
        <v>1.0</v>
      </c>
    </row>
    <row r="14">
      <c r="A14" s="39" t="s">
        <v>1870</v>
      </c>
      <c r="D14" s="39" t="s">
        <v>1845</v>
      </c>
      <c r="E14" s="39" t="s">
        <v>1771</v>
      </c>
      <c r="F14" s="39" t="s">
        <v>64</v>
      </c>
      <c r="G14" s="2" t="s">
        <v>1871</v>
      </c>
      <c r="H14" s="2" t="s">
        <v>1871</v>
      </c>
      <c r="I14" s="40">
        <v>63.836</v>
      </c>
      <c r="L14" s="39" t="s">
        <v>102</v>
      </c>
      <c r="N14" s="39" t="s">
        <v>67</v>
      </c>
      <c r="O14" s="30" t="s">
        <v>67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400.0</v>
      </c>
      <c r="AE14" s="39">
        <v>1.0</v>
      </c>
    </row>
    <row r="15">
      <c r="A15" s="39" t="s">
        <v>1872</v>
      </c>
      <c r="D15" s="39" t="s">
        <v>1845</v>
      </c>
      <c r="E15" s="39" t="s">
        <v>1771</v>
      </c>
      <c r="F15" s="39" t="s">
        <v>64</v>
      </c>
      <c r="G15" s="2" t="s">
        <v>1873</v>
      </c>
      <c r="H15" s="2" t="s">
        <v>1873</v>
      </c>
      <c r="I15" s="40">
        <v>64.536</v>
      </c>
      <c r="L15" s="39" t="s">
        <v>102</v>
      </c>
      <c r="N15" s="39" t="s">
        <v>67</v>
      </c>
      <c r="O15" s="30" t="s">
        <v>81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500.0</v>
      </c>
      <c r="AE15" s="39">
        <v>1.0</v>
      </c>
    </row>
    <row r="16">
      <c r="A16" s="39" t="s">
        <v>1874</v>
      </c>
      <c r="D16" s="39" t="s">
        <v>1845</v>
      </c>
      <c r="E16" s="39" t="s">
        <v>1771</v>
      </c>
      <c r="F16" s="39" t="s">
        <v>64</v>
      </c>
      <c r="G16" s="2" t="s">
        <v>1875</v>
      </c>
      <c r="H16" s="2" t="s">
        <v>1875</v>
      </c>
      <c r="I16" s="40">
        <v>65.211</v>
      </c>
      <c r="L16" s="39" t="s">
        <v>102</v>
      </c>
      <c r="N16" s="39" t="s">
        <v>67</v>
      </c>
      <c r="O16" s="30" t="s">
        <v>67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450.0</v>
      </c>
      <c r="AE16" s="39">
        <v>1.0</v>
      </c>
    </row>
    <row r="17">
      <c r="A17" s="39" t="s">
        <v>1876</v>
      </c>
      <c r="D17" s="39" t="s">
        <v>1845</v>
      </c>
      <c r="E17" s="39" t="s">
        <v>1771</v>
      </c>
      <c r="F17" s="39" t="s">
        <v>64</v>
      </c>
      <c r="G17" s="2" t="s">
        <v>1877</v>
      </c>
      <c r="H17" s="2" t="s">
        <v>1877</v>
      </c>
      <c r="I17" s="40">
        <v>65.837</v>
      </c>
      <c r="L17" s="39" t="s">
        <v>102</v>
      </c>
      <c r="N17" s="39" t="s">
        <v>67</v>
      </c>
      <c r="O17" s="30" t="s">
        <v>81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500.0</v>
      </c>
      <c r="AE17" s="39">
        <v>1.0</v>
      </c>
    </row>
    <row r="18">
      <c r="A18" s="39" t="s">
        <v>1878</v>
      </c>
      <c r="B18" s="39" t="s">
        <v>1879</v>
      </c>
      <c r="C18" s="39" t="s">
        <v>1880</v>
      </c>
      <c r="D18" s="39" t="s">
        <v>1845</v>
      </c>
      <c r="E18" s="39" t="s">
        <v>1771</v>
      </c>
      <c r="F18" s="39" t="s">
        <v>64</v>
      </c>
      <c r="G18" s="2" t="s">
        <v>1881</v>
      </c>
      <c r="H18" s="2" t="s">
        <v>1881</v>
      </c>
      <c r="I18" s="40">
        <v>66.417</v>
      </c>
      <c r="L18" s="39" t="s">
        <v>1685</v>
      </c>
      <c r="N18" s="39" t="s">
        <v>67</v>
      </c>
      <c r="O18" s="30" t="s">
        <v>67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1.0</v>
      </c>
      <c r="W18" s="39">
        <v>0.0</v>
      </c>
      <c r="X18" s="39">
        <v>1.0</v>
      </c>
      <c r="Y18" s="39">
        <v>0.0</v>
      </c>
      <c r="Z18" s="30" t="s">
        <v>899</v>
      </c>
      <c r="AA18" s="30" t="s">
        <v>115</v>
      </c>
      <c r="AC18" s="39">
        <v>500.0</v>
      </c>
      <c r="AE18" s="39">
        <v>1.0</v>
      </c>
    </row>
    <row r="19">
      <c r="A19" s="39" t="s">
        <v>1882</v>
      </c>
      <c r="B19" s="39" t="s">
        <v>1879</v>
      </c>
      <c r="C19" s="39" t="s">
        <v>1880</v>
      </c>
      <c r="D19" s="39" t="s">
        <v>1845</v>
      </c>
      <c r="E19" s="39" t="s">
        <v>1771</v>
      </c>
      <c r="F19" s="39" t="s">
        <v>64</v>
      </c>
      <c r="G19" s="39" t="s">
        <v>662</v>
      </c>
      <c r="I19" s="40">
        <v>67.382</v>
      </c>
      <c r="L19" s="39" t="s">
        <v>1685</v>
      </c>
      <c r="N19" s="39" t="s">
        <v>67</v>
      </c>
      <c r="O19" s="30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1.0</v>
      </c>
      <c r="W19" s="39">
        <v>1.0</v>
      </c>
      <c r="X19" s="39">
        <v>1.0</v>
      </c>
      <c r="Y19" s="39">
        <v>0.0</v>
      </c>
      <c r="Z19" s="30" t="s">
        <v>1861</v>
      </c>
      <c r="AA19" s="30" t="s">
        <v>115</v>
      </c>
      <c r="AC19" s="39">
        <v>400.0</v>
      </c>
      <c r="AE19" s="39">
        <v>1.0</v>
      </c>
    </row>
    <row r="20">
      <c r="A20" s="39" t="s">
        <v>1883</v>
      </c>
      <c r="B20" s="39" t="s">
        <v>1879</v>
      </c>
      <c r="C20" s="39" t="s">
        <v>1880</v>
      </c>
      <c r="D20" s="39" t="s">
        <v>1845</v>
      </c>
      <c r="E20" s="39" t="s">
        <v>1771</v>
      </c>
      <c r="F20" s="39" t="s">
        <v>64</v>
      </c>
      <c r="G20" s="2" t="s">
        <v>1884</v>
      </c>
      <c r="H20" s="2" t="s">
        <v>1884</v>
      </c>
      <c r="I20" s="40">
        <v>68.531</v>
      </c>
      <c r="L20" s="39" t="s">
        <v>1685</v>
      </c>
      <c r="N20" s="39" t="s">
        <v>67</v>
      </c>
      <c r="O20" s="30" t="s">
        <v>81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550.0</v>
      </c>
      <c r="AE20" s="39">
        <v>1.0</v>
      </c>
    </row>
    <row r="21">
      <c r="A21" s="39" t="s">
        <v>1885</v>
      </c>
      <c r="B21" s="39" t="s">
        <v>1879</v>
      </c>
      <c r="C21" s="39" t="s">
        <v>1880</v>
      </c>
      <c r="D21" s="39" t="s">
        <v>1845</v>
      </c>
      <c r="E21" s="39" t="s">
        <v>1771</v>
      </c>
      <c r="F21" s="39" t="s">
        <v>64</v>
      </c>
      <c r="G21" s="2" t="s">
        <v>1886</v>
      </c>
      <c r="H21" s="2" t="s">
        <v>1886</v>
      </c>
      <c r="I21" s="40">
        <v>68.889</v>
      </c>
      <c r="L21" s="2" t="s">
        <v>66</v>
      </c>
      <c r="N21" s="39" t="s">
        <v>67</v>
      </c>
      <c r="O21" s="30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400.0</v>
      </c>
      <c r="AE21" s="39">
        <v>1.0</v>
      </c>
    </row>
    <row r="22">
      <c r="A22" s="39" t="s">
        <v>1887</v>
      </c>
      <c r="D22" s="39" t="s">
        <v>1845</v>
      </c>
      <c r="E22" s="39" t="s">
        <v>1771</v>
      </c>
      <c r="F22" s="39" t="s">
        <v>64</v>
      </c>
      <c r="G22" s="2" t="s">
        <v>1888</v>
      </c>
      <c r="H22" s="2" t="s">
        <v>1888</v>
      </c>
      <c r="I22" s="40">
        <v>69.769</v>
      </c>
      <c r="L22" s="39" t="s">
        <v>102</v>
      </c>
      <c r="N22" s="39" t="s">
        <v>67</v>
      </c>
      <c r="O22" s="30" t="s">
        <v>67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300.0</v>
      </c>
      <c r="AE22" s="39">
        <v>1.0</v>
      </c>
    </row>
    <row r="23">
      <c r="A23" s="39" t="s">
        <v>1889</v>
      </c>
      <c r="D23" s="39" t="s">
        <v>1845</v>
      </c>
      <c r="E23" s="39" t="s">
        <v>1771</v>
      </c>
      <c r="F23" s="39" t="s">
        <v>64</v>
      </c>
      <c r="G23" s="2" t="s">
        <v>1890</v>
      </c>
      <c r="H23" s="2" t="s">
        <v>1890</v>
      </c>
      <c r="I23" s="40">
        <v>70.719</v>
      </c>
      <c r="L23" s="39" t="s">
        <v>102</v>
      </c>
      <c r="N23" s="39" t="s">
        <v>67</v>
      </c>
      <c r="O23" s="30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900.0</v>
      </c>
      <c r="AE23" s="39">
        <v>1.0</v>
      </c>
    </row>
    <row r="24">
      <c r="A24" s="39" t="s">
        <v>1891</v>
      </c>
      <c r="D24" s="39" t="s">
        <v>1845</v>
      </c>
      <c r="E24" s="39" t="s">
        <v>1771</v>
      </c>
      <c r="F24" s="39" t="s">
        <v>64</v>
      </c>
      <c r="G24" s="2" t="s">
        <v>1892</v>
      </c>
      <c r="H24" s="2" t="s">
        <v>1892</v>
      </c>
      <c r="I24" s="40">
        <v>71.668</v>
      </c>
      <c r="L24" s="39" t="s">
        <v>102</v>
      </c>
      <c r="N24" s="39" t="s">
        <v>67</v>
      </c>
      <c r="O24" s="30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750.0</v>
      </c>
      <c r="AE24" s="39">
        <v>1.0</v>
      </c>
    </row>
    <row r="25">
      <c r="A25" s="39" t="s">
        <v>1893</v>
      </c>
      <c r="D25" s="39" t="s">
        <v>1845</v>
      </c>
      <c r="E25" s="39" t="s">
        <v>1771</v>
      </c>
      <c r="F25" s="39" t="s">
        <v>64</v>
      </c>
      <c r="G25" s="2" t="s">
        <v>1894</v>
      </c>
      <c r="H25" s="2" t="s">
        <v>1894</v>
      </c>
      <c r="I25" s="40">
        <v>72.80199999999999</v>
      </c>
      <c r="L25" s="39" t="s">
        <v>102</v>
      </c>
      <c r="N25" s="39" t="s">
        <v>67</v>
      </c>
      <c r="O25" s="30" t="s">
        <v>67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350.0</v>
      </c>
      <c r="AE25" s="39">
        <v>1.0</v>
      </c>
    </row>
    <row r="26">
      <c r="A26" s="39" t="s">
        <v>1895</v>
      </c>
      <c r="D26" s="39" t="s">
        <v>1845</v>
      </c>
      <c r="E26" s="39" t="s">
        <v>1771</v>
      </c>
      <c r="F26" s="39" t="s">
        <v>64</v>
      </c>
      <c r="G26" s="2" t="s">
        <v>1896</v>
      </c>
      <c r="H26" s="2" t="s">
        <v>1896</v>
      </c>
      <c r="I26" s="40">
        <v>73.292</v>
      </c>
      <c r="L26" s="39" t="s">
        <v>102</v>
      </c>
      <c r="N26" s="39" t="s">
        <v>67</v>
      </c>
      <c r="O26" s="30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450.0</v>
      </c>
      <c r="AE26" s="39">
        <v>1.0</v>
      </c>
    </row>
    <row r="27">
      <c r="A27" s="39" t="s">
        <v>1897</v>
      </c>
      <c r="D27" s="39" t="s">
        <v>1845</v>
      </c>
      <c r="E27" s="39" t="s">
        <v>1771</v>
      </c>
      <c r="F27" s="39" t="s">
        <v>64</v>
      </c>
      <c r="G27" s="2" t="s">
        <v>1898</v>
      </c>
      <c r="H27" s="2" t="s">
        <v>1898</v>
      </c>
      <c r="I27" s="40">
        <v>74.092</v>
      </c>
      <c r="L27" s="39" t="s">
        <v>102</v>
      </c>
      <c r="N27" s="39" t="s">
        <v>67</v>
      </c>
      <c r="O27" s="30" t="s">
        <v>67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500.0</v>
      </c>
      <c r="AE27" s="39">
        <v>1.0</v>
      </c>
    </row>
    <row r="28">
      <c r="A28" s="39" t="s">
        <v>1899</v>
      </c>
      <c r="D28" s="39" t="s">
        <v>1845</v>
      </c>
      <c r="E28" s="39" t="s">
        <v>1771</v>
      </c>
      <c r="F28" s="39" t="s">
        <v>64</v>
      </c>
      <c r="G28" s="2" t="s">
        <v>1900</v>
      </c>
      <c r="H28" s="2" t="s">
        <v>1900</v>
      </c>
      <c r="I28" s="40">
        <v>74.797</v>
      </c>
      <c r="L28" s="39" t="s">
        <v>102</v>
      </c>
      <c r="N28" s="39" t="s">
        <v>67</v>
      </c>
      <c r="O28" s="30" t="s">
        <v>81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500.0</v>
      </c>
      <c r="AE28" s="39">
        <v>1.0</v>
      </c>
    </row>
    <row r="29">
      <c r="A29" s="39" t="s">
        <v>1901</v>
      </c>
      <c r="D29" s="39" t="s">
        <v>1845</v>
      </c>
      <c r="E29" s="39" t="s">
        <v>1771</v>
      </c>
      <c r="F29" s="39" t="s">
        <v>64</v>
      </c>
      <c r="G29" s="2" t="s">
        <v>1902</v>
      </c>
      <c r="H29" s="2" t="s">
        <v>1902</v>
      </c>
      <c r="I29" s="40">
        <v>75.372</v>
      </c>
      <c r="L29" s="39" t="s">
        <v>102</v>
      </c>
      <c r="N29" s="39" t="s">
        <v>67</v>
      </c>
      <c r="O29" s="30" t="s">
        <v>68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600.0</v>
      </c>
      <c r="AE29" s="39">
        <v>1.0</v>
      </c>
    </row>
    <row r="30">
      <c r="A30" s="39" t="s">
        <v>1903</v>
      </c>
      <c r="D30" s="39" t="s">
        <v>1845</v>
      </c>
      <c r="E30" s="39" t="s">
        <v>1771</v>
      </c>
      <c r="F30" s="39" t="s">
        <v>64</v>
      </c>
      <c r="G30" s="2" t="s">
        <v>1904</v>
      </c>
      <c r="H30" s="2" t="s">
        <v>1904</v>
      </c>
      <c r="I30" s="40">
        <v>75.937</v>
      </c>
      <c r="L30" s="39" t="s">
        <v>1716</v>
      </c>
      <c r="N30" s="39" t="s">
        <v>67</v>
      </c>
      <c r="O30" s="30" t="s">
        <v>67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350.0</v>
      </c>
      <c r="AE30" s="39">
        <v>1.0</v>
      </c>
    </row>
    <row r="31">
      <c r="A31" s="39" t="s">
        <v>1905</v>
      </c>
      <c r="D31" s="39" t="s">
        <v>1845</v>
      </c>
      <c r="E31" s="39" t="s">
        <v>1771</v>
      </c>
      <c r="F31" s="39" t="s">
        <v>64</v>
      </c>
      <c r="G31" s="2" t="s">
        <v>1906</v>
      </c>
      <c r="H31" s="2" t="s">
        <v>1906</v>
      </c>
      <c r="I31" s="40">
        <v>76.737</v>
      </c>
      <c r="L31" s="39" t="s">
        <v>102</v>
      </c>
      <c r="N31" s="39" t="s">
        <v>67</v>
      </c>
      <c r="O31" s="30" t="s">
        <v>67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250.0</v>
      </c>
      <c r="AE31" s="39">
        <v>1.0</v>
      </c>
    </row>
    <row r="32">
      <c r="A32" s="39" t="s">
        <v>1907</v>
      </c>
      <c r="B32" s="39" t="s">
        <v>1908</v>
      </c>
      <c r="C32" s="39" t="s">
        <v>1909</v>
      </c>
      <c r="D32" s="39" t="s">
        <v>1845</v>
      </c>
      <c r="E32" s="39" t="s">
        <v>1771</v>
      </c>
      <c r="F32" s="39" t="s">
        <v>64</v>
      </c>
      <c r="G32" s="2" t="s">
        <v>1910</v>
      </c>
      <c r="H32" s="2" t="s">
        <v>1910</v>
      </c>
      <c r="I32" s="40">
        <v>77.137</v>
      </c>
      <c r="L32" s="39" t="s">
        <v>1685</v>
      </c>
      <c r="N32" s="39" t="s">
        <v>67</v>
      </c>
      <c r="O32" s="30" t="s">
        <v>68</v>
      </c>
      <c r="Q32" s="39">
        <v>0.0</v>
      </c>
      <c r="R32" s="39">
        <v>0.0</v>
      </c>
      <c r="S32" s="39">
        <v>1.0</v>
      </c>
      <c r="T32" s="39">
        <v>0.0</v>
      </c>
      <c r="U32" s="39">
        <v>1.0</v>
      </c>
      <c r="V32" s="39">
        <v>0.0</v>
      </c>
      <c r="W32" s="39">
        <v>0.0</v>
      </c>
      <c r="X32" s="39">
        <v>0.0</v>
      </c>
      <c r="Y32" s="39">
        <v>0.0</v>
      </c>
      <c r="AC32" s="39">
        <v>300.0</v>
      </c>
      <c r="AE32" s="39">
        <v>1.0</v>
      </c>
    </row>
    <row r="33">
      <c r="A33" s="39" t="s">
        <v>1911</v>
      </c>
      <c r="B33" s="39" t="s">
        <v>1908</v>
      </c>
      <c r="C33" s="39" t="s">
        <v>1909</v>
      </c>
      <c r="D33" s="39" t="s">
        <v>1845</v>
      </c>
      <c r="E33" s="39" t="s">
        <v>1771</v>
      </c>
      <c r="F33" s="39" t="s">
        <v>64</v>
      </c>
      <c r="G33" s="2" t="s">
        <v>1912</v>
      </c>
      <c r="H33" s="2" t="s">
        <v>1912</v>
      </c>
      <c r="I33" s="40">
        <v>77.557</v>
      </c>
      <c r="L33" s="39" t="s">
        <v>1685</v>
      </c>
      <c r="N33" s="39" t="s">
        <v>67</v>
      </c>
      <c r="O33" s="30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1.0</v>
      </c>
      <c r="W33" s="39">
        <v>1.0</v>
      </c>
      <c r="X33" s="39">
        <v>1.0</v>
      </c>
      <c r="Y33" s="39">
        <v>0.0</v>
      </c>
      <c r="Z33" s="30" t="s">
        <v>1861</v>
      </c>
      <c r="AA33" s="30" t="s">
        <v>115</v>
      </c>
      <c r="AC33" s="39">
        <v>350.0</v>
      </c>
      <c r="AE33" s="39">
        <v>1.0</v>
      </c>
    </row>
    <row r="34">
      <c r="A34" s="39" t="s">
        <v>1913</v>
      </c>
      <c r="B34" s="39" t="s">
        <v>1908</v>
      </c>
      <c r="C34" s="39" t="s">
        <v>1909</v>
      </c>
      <c r="D34" s="39" t="s">
        <v>1845</v>
      </c>
      <c r="E34" s="39" t="s">
        <v>1771</v>
      </c>
      <c r="F34" s="39" t="s">
        <v>64</v>
      </c>
      <c r="G34" s="39" t="s">
        <v>657</v>
      </c>
      <c r="I34" s="40">
        <v>78.516</v>
      </c>
      <c r="L34" s="39" t="s">
        <v>1685</v>
      </c>
      <c r="N34" s="39" t="s">
        <v>1914</v>
      </c>
      <c r="O34" s="30" t="s">
        <v>81</v>
      </c>
      <c r="Q34" s="39">
        <v>0.0</v>
      </c>
      <c r="R34" s="39">
        <v>0.0</v>
      </c>
      <c r="S34" s="39">
        <v>0.0</v>
      </c>
      <c r="T34" s="39">
        <v>1.0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300.0</v>
      </c>
      <c r="AE34" s="39">
        <v>1.0</v>
      </c>
    </row>
    <row r="35">
      <c r="A35" s="39" t="s">
        <v>1915</v>
      </c>
      <c r="B35" s="39" t="s">
        <v>1908</v>
      </c>
      <c r="C35" s="39" t="s">
        <v>1909</v>
      </c>
      <c r="D35" s="39" t="s">
        <v>1845</v>
      </c>
      <c r="E35" s="39" t="s">
        <v>1771</v>
      </c>
      <c r="F35" s="39" t="s">
        <v>64</v>
      </c>
      <c r="G35" s="2" t="s">
        <v>1916</v>
      </c>
      <c r="H35" s="2" t="s">
        <v>1916</v>
      </c>
      <c r="I35" s="40">
        <v>78.891</v>
      </c>
      <c r="L35" s="39" t="s">
        <v>1685</v>
      </c>
      <c r="N35" s="39" t="s">
        <v>67</v>
      </c>
      <c r="O35" s="30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300.0</v>
      </c>
      <c r="AE35" s="39">
        <v>1.0</v>
      </c>
    </row>
    <row r="36">
      <c r="A36" s="39" t="s">
        <v>1917</v>
      </c>
      <c r="D36" s="39" t="s">
        <v>1845</v>
      </c>
      <c r="E36" s="39" t="s">
        <v>1771</v>
      </c>
      <c r="F36" s="39" t="s">
        <v>64</v>
      </c>
      <c r="G36" s="2" t="s">
        <v>1918</v>
      </c>
      <c r="H36" s="2" t="s">
        <v>1918</v>
      </c>
      <c r="I36" s="40">
        <v>79.711</v>
      </c>
      <c r="L36" s="39" t="s">
        <v>1716</v>
      </c>
      <c r="N36" s="39" t="s">
        <v>67</v>
      </c>
      <c r="O36" s="30" t="s">
        <v>81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300.0</v>
      </c>
      <c r="AE36" s="39">
        <v>1.0</v>
      </c>
    </row>
    <row r="37">
      <c r="A37" s="39" t="s">
        <v>1919</v>
      </c>
      <c r="D37" s="39" t="s">
        <v>1845</v>
      </c>
      <c r="E37" s="39" t="s">
        <v>1771</v>
      </c>
      <c r="F37" s="39" t="s">
        <v>64</v>
      </c>
      <c r="G37" s="2" t="s">
        <v>1920</v>
      </c>
      <c r="H37" s="2" t="s">
        <v>1920</v>
      </c>
      <c r="I37" s="40">
        <v>80.417</v>
      </c>
      <c r="L37" s="39" t="s">
        <v>102</v>
      </c>
      <c r="N37" s="39" t="s">
        <v>67</v>
      </c>
      <c r="O37" s="30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300.0</v>
      </c>
      <c r="AE37" s="39">
        <v>1.0</v>
      </c>
    </row>
    <row r="38">
      <c r="A38" s="39" t="s">
        <v>1921</v>
      </c>
      <c r="D38" s="39" t="s">
        <v>1845</v>
      </c>
      <c r="E38" s="39" t="s">
        <v>1771</v>
      </c>
      <c r="F38" s="39" t="s">
        <v>64</v>
      </c>
      <c r="G38" s="2" t="s">
        <v>1922</v>
      </c>
      <c r="H38" s="2" t="s">
        <v>1922</v>
      </c>
      <c r="I38" s="40">
        <v>81.114</v>
      </c>
      <c r="L38" s="39" t="s">
        <v>1716</v>
      </c>
      <c r="N38" s="39" t="s">
        <v>67</v>
      </c>
      <c r="O38" s="30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500.0</v>
      </c>
      <c r="AE38" s="39">
        <v>1.0</v>
      </c>
    </row>
    <row r="39">
      <c r="A39" s="39" t="s">
        <v>1923</v>
      </c>
      <c r="D39" s="39" t="s">
        <v>1845</v>
      </c>
      <c r="E39" s="39" t="s">
        <v>1771</v>
      </c>
      <c r="F39" s="39" t="s">
        <v>64</v>
      </c>
      <c r="G39" s="2" t="s">
        <v>1924</v>
      </c>
      <c r="H39" s="2" t="s">
        <v>1924</v>
      </c>
      <c r="I39" s="40">
        <v>81.73400000000001</v>
      </c>
      <c r="L39" s="39" t="s">
        <v>102</v>
      </c>
      <c r="N39" s="39" t="s">
        <v>67</v>
      </c>
      <c r="O39" s="30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450.0</v>
      </c>
      <c r="AE39" s="39">
        <v>1.0</v>
      </c>
    </row>
    <row r="40">
      <c r="A40" s="39" t="s">
        <v>1925</v>
      </c>
      <c r="D40" s="39" t="s">
        <v>1845</v>
      </c>
      <c r="E40" s="39" t="s">
        <v>1771</v>
      </c>
      <c r="F40" s="39" t="s">
        <v>64</v>
      </c>
      <c r="G40" s="2" t="s">
        <v>1926</v>
      </c>
      <c r="H40" s="2" t="s">
        <v>1926</v>
      </c>
      <c r="I40" s="40">
        <v>82.275</v>
      </c>
      <c r="L40" s="39" t="s">
        <v>102</v>
      </c>
      <c r="N40" s="39" t="s">
        <v>67</v>
      </c>
      <c r="O40" s="30" t="s">
        <v>81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400.0</v>
      </c>
      <c r="AE40" s="39">
        <v>1.0</v>
      </c>
    </row>
    <row r="41">
      <c r="A41" s="39" t="s">
        <v>1927</v>
      </c>
      <c r="D41" s="39" t="s">
        <v>1845</v>
      </c>
      <c r="E41" s="39" t="s">
        <v>1771</v>
      </c>
      <c r="F41" s="39" t="s">
        <v>64</v>
      </c>
      <c r="G41" s="2" t="s">
        <v>1928</v>
      </c>
      <c r="H41" s="2" t="s">
        <v>1928</v>
      </c>
      <c r="I41" s="40">
        <v>82.97</v>
      </c>
      <c r="L41" s="39" t="s">
        <v>102</v>
      </c>
      <c r="N41" s="39" t="s">
        <v>67</v>
      </c>
      <c r="O41" s="30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600.0</v>
      </c>
      <c r="AE41" s="39">
        <v>1.0</v>
      </c>
    </row>
    <row r="42">
      <c r="A42" s="39" t="s">
        <v>1929</v>
      </c>
      <c r="D42" s="39" t="s">
        <v>1845</v>
      </c>
      <c r="E42" s="39" t="s">
        <v>1771</v>
      </c>
      <c r="F42" s="39" t="s">
        <v>64</v>
      </c>
      <c r="G42" s="2" t="s">
        <v>1930</v>
      </c>
      <c r="H42" s="2" t="s">
        <v>1930</v>
      </c>
      <c r="I42" s="40">
        <v>83.795</v>
      </c>
      <c r="L42" s="39" t="s">
        <v>102</v>
      </c>
      <c r="N42" s="39" t="s">
        <v>67</v>
      </c>
      <c r="O42" s="30" t="s">
        <v>67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700.0</v>
      </c>
      <c r="AE42" s="39">
        <v>1.0</v>
      </c>
    </row>
    <row r="43">
      <c r="A43" s="39" t="s">
        <v>1931</v>
      </c>
      <c r="B43" s="39" t="s">
        <v>1932</v>
      </c>
      <c r="C43" s="39" t="s">
        <v>1933</v>
      </c>
      <c r="D43" s="39" t="s">
        <v>1845</v>
      </c>
      <c r="E43" s="39" t="s">
        <v>1771</v>
      </c>
      <c r="F43" s="39" t="s">
        <v>64</v>
      </c>
      <c r="G43" s="2" t="s">
        <v>1934</v>
      </c>
      <c r="H43" s="2" t="s">
        <v>1934</v>
      </c>
      <c r="I43" s="40">
        <v>84.561</v>
      </c>
      <c r="L43" s="39" t="s">
        <v>1685</v>
      </c>
      <c r="N43" s="39" t="s">
        <v>67</v>
      </c>
      <c r="O43" s="30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1.0</v>
      </c>
      <c r="W43" s="39">
        <v>0.0</v>
      </c>
      <c r="X43" s="39">
        <v>1.0</v>
      </c>
      <c r="Y43" s="39">
        <v>1.0</v>
      </c>
      <c r="Z43" s="30" t="s">
        <v>1935</v>
      </c>
      <c r="AA43" s="30" t="s">
        <v>70</v>
      </c>
      <c r="AC43" s="39">
        <v>600.0</v>
      </c>
      <c r="AE43" s="39">
        <v>1.0</v>
      </c>
    </row>
    <row r="44">
      <c r="A44" s="39" t="s">
        <v>1936</v>
      </c>
      <c r="B44" s="39" t="s">
        <v>1932</v>
      </c>
      <c r="C44" s="39" t="s">
        <v>1933</v>
      </c>
      <c r="D44" s="39" t="s">
        <v>1845</v>
      </c>
      <c r="E44" s="39" t="s">
        <v>1771</v>
      </c>
      <c r="F44" s="39" t="s">
        <v>64</v>
      </c>
      <c r="G44" s="2" t="s">
        <v>1937</v>
      </c>
      <c r="H44" s="2" t="s">
        <v>1937</v>
      </c>
      <c r="I44" s="40">
        <v>85.666</v>
      </c>
      <c r="L44" s="39" t="s">
        <v>1685</v>
      </c>
      <c r="N44" s="39" t="s">
        <v>1914</v>
      </c>
      <c r="O44" s="30" t="s">
        <v>68</v>
      </c>
      <c r="Q44" s="39">
        <v>0.0</v>
      </c>
      <c r="R44" s="39">
        <v>0.0</v>
      </c>
      <c r="S44" s="39">
        <v>0.0</v>
      </c>
      <c r="T44" s="39">
        <v>1.0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950.0</v>
      </c>
      <c r="AE44" s="39">
        <v>1.0</v>
      </c>
    </row>
    <row r="45">
      <c r="A45" s="39" t="s">
        <v>1938</v>
      </c>
      <c r="B45" s="39" t="s">
        <v>1932</v>
      </c>
      <c r="C45" s="39" t="s">
        <v>1933</v>
      </c>
      <c r="D45" s="39" t="s">
        <v>1845</v>
      </c>
      <c r="E45" s="39" t="s">
        <v>1771</v>
      </c>
      <c r="F45" s="39" t="s">
        <v>64</v>
      </c>
      <c r="G45" s="2" t="s">
        <v>657</v>
      </c>
      <c r="I45" s="40">
        <v>86.24000000000001</v>
      </c>
      <c r="L45" s="39" t="s">
        <v>1685</v>
      </c>
      <c r="N45" s="39" t="s">
        <v>67</v>
      </c>
      <c r="O45" s="30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1.0</v>
      </c>
      <c r="W45" s="39">
        <v>0.0</v>
      </c>
      <c r="X45" s="39">
        <v>0.0</v>
      </c>
      <c r="Y45" s="39">
        <v>0.0</v>
      </c>
      <c r="AC45" s="39">
        <v>600.0</v>
      </c>
      <c r="AE45" s="39">
        <v>1.0</v>
      </c>
    </row>
    <row r="46">
      <c r="A46" s="39" t="s">
        <v>1939</v>
      </c>
      <c r="B46" s="39" t="s">
        <v>1932</v>
      </c>
      <c r="C46" s="39" t="s">
        <v>1933</v>
      </c>
      <c r="D46" s="39" t="s">
        <v>1845</v>
      </c>
      <c r="E46" s="39" t="s">
        <v>1771</v>
      </c>
      <c r="F46" s="39" t="s">
        <v>64</v>
      </c>
      <c r="G46" s="2" t="s">
        <v>1940</v>
      </c>
      <c r="H46" s="2" t="s">
        <v>1940</v>
      </c>
      <c r="I46" s="40">
        <v>87.03999999999999</v>
      </c>
      <c r="L46" s="39" t="s">
        <v>1685</v>
      </c>
      <c r="N46" s="39" t="s">
        <v>67</v>
      </c>
      <c r="O46" s="30" t="s">
        <v>67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250.0</v>
      </c>
      <c r="AE46" s="39">
        <v>1.0</v>
      </c>
    </row>
    <row r="47">
      <c r="A47" s="39" t="s">
        <v>1941</v>
      </c>
      <c r="D47" s="39" t="s">
        <v>1845</v>
      </c>
      <c r="E47" s="39" t="s">
        <v>1771</v>
      </c>
      <c r="F47" s="39" t="s">
        <v>64</v>
      </c>
      <c r="G47" s="2" t="s">
        <v>1942</v>
      </c>
      <c r="H47" s="2" t="s">
        <v>1942</v>
      </c>
      <c r="I47" s="40">
        <v>87.84</v>
      </c>
      <c r="L47" s="39" t="s">
        <v>102</v>
      </c>
      <c r="N47" s="39" t="s">
        <v>67</v>
      </c>
      <c r="O47" s="30" t="s">
        <v>81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300.0</v>
      </c>
      <c r="AE47" s="39">
        <v>1.0</v>
      </c>
    </row>
    <row r="48">
      <c r="A48" s="39" t="s">
        <v>1943</v>
      </c>
      <c r="D48" s="39" t="s">
        <v>1845</v>
      </c>
      <c r="E48" s="39" t="s">
        <v>1771</v>
      </c>
      <c r="F48" s="39" t="s">
        <v>64</v>
      </c>
      <c r="G48" s="2" t="s">
        <v>1944</v>
      </c>
      <c r="H48" s="2" t="s">
        <v>1944</v>
      </c>
      <c r="I48" s="40">
        <v>88.64</v>
      </c>
      <c r="L48" s="39" t="s">
        <v>102</v>
      </c>
      <c r="N48" s="39" t="s">
        <v>67</v>
      </c>
      <c r="O48" s="30" t="s">
        <v>68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700.0</v>
      </c>
      <c r="AE48" s="39">
        <v>1.0</v>
      </c>
    </row>
    <row r="49">
      <c r="A49" s="39" t="s">
        <v>1945</v>
      </c>
      <c r="D49" s="39" t="s">
        <v>1845</v>
      </c>
      <c r="E49" s="39" t="s">
        <v>1771</v>
      </c>
      <c r="F49" s="39" t="s">
        <v>64</v>
      </c>
      <c r="G49" s="2" t="s">
        <v>1946</v>
      </c>
      <c r="H49" s="2" t="s">
        <v>1946</v>
      </c>
      <c r="I49" s="40">
        <v>89.48</v>
      </c>
      <c r="L49" s="39" t="s">
        <v>1716</v>
      </c>
      <c r="N49" s="39" t="s">
        <v>67</v>
      </c>
      <c r="O49" s="30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600.0</v>
      </c>
      <c r="AE49" s="39">
        <v>1.0</v>
      </c>
    </row>
    <row r="50">
      <c r="A50" s="39" t="s">
        <v>1947</v>
      </c>
      <c r="D50" s="39" t="s">
        <v>1845</v>
      </c>
      <c r="E50" s="39" t="s">
        <v>1771</v>
      </c>
      <c r="F50" s="39" t="s">
        <v>64</v>
      </c>
      <c r="G50" s="2" t="s">
        <v>1948</v>
      </c>
      <c r="H50" s="2" t="s">
        <v>1948</v>
      </c>
      <c r="I50" s="40">
        <v>90.28</v>
      </c>
      <c r="L50" s="39" t="s">
        <v>102</v>
      </c>
      <c r="N50" s="39" t="s">
        <v>67</v>
      </c>
      <c r="O50" s="30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800.0</v>
      </c>
      <c r="AE50" s="39">
        <v>1.0</v>
      </c>
    </row>
    <row r="51">
      <c r="A51" s="39" t="s">
        <v>1949</v>
      </c>
      <c r="D51" s="39" t="s">
        <v>1845</v>
      </c>
      <c r="E51" s="39" t="s">
        <v>1771</v>
      </c>
      <c r="F51" s="39" t="s">
        <v>64</v>
      </c>
      <c r="G51" s="2" t="s">
        <v>1950</v>
      </c>
      <c r="H51" s="2" t="s">
        <v>1950</v>
      </c>
      <c r="I51" s="40">
        <v>91.14</v>
      </c>
      <c r="L51" s="39" t="s">
        <v>102</v>
      </c>
      <c r="N51" s="39" t="s">
        <v>67</v>
      </c>
      <c r="O51" s="30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1200.0</v>
      </c>
      <c r="AE51" s="39">
        <v>1.0</v>
      </c>
    </row>
    <row r="52">
      <c r="A52" s="39" t="s">
        <v>1951</v>
      </c>
      <c r="B52" s="39" t="s">
        <v>1952</v>
      </c>
      <c r="C52" s="39" t="s">
        <v>1953</v>
      </c>
      <c r="D52" s="39" t="s">
        <v>1845</v>
      </c>
      <c r="E52" s="39" t="s">
        <v>1771</v>
      </c>
      <c r="F52" s="39" t="s">
        <v>64</v>
      </c>
      <c r="G52" s="2" t="s">
        <v>1954</v>
      </c>
      <c r="H52" s="2" t="s">
        <v>1954</v>
      </c>
      <c r="I52" s="40">
        <v>92.03</v>
      </c>
      <c r="L52" s="39" t="s">
        <v>1685</v>
      </c>
      <c r="N52" s="39" t="s">
        <v>67</v>
      </c>
      <c r="O52" s="30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1.0</v>
      </c>
      <c r="W52" s="39">
        <v>0.0</v>
      </c>
      <c r="X52" s="39">
        <v>1.0</v>
      </c>
      <c r="Y52" s="39">
        <v>0.0</v>
      </c>
      <c r="Z52" s="30" t="s">
        <v>1861</v>
      </c>
      <c r="AA52" s="30" t="s">
        <v>115</v>
      </c>
      <c r="AC52" s="39">
        <v>1000.0</v>
      </c>
      <c r="AE52" s="39">
        <v>1.0</v>
      </c>
    </row>
    <row r="53">
      <c r="A53" s="39" t="s">
        <v>1955</v>
      </c>
      <c r="B53" s="39" t="s">
        <v>1952</v>
      </c>
      <c r="C53" s="39" t="s">
        <v>1953</v>
      </c>
      <c r="D53" s="39" t="s">
        <v>1845</v>
      </c>
      <c r="E53" s="39" t="s">
        <v>1771</v>
      </c>
      <c r="F53" s="39" t="s">
        <v>64</v>
      </c>
      <c r="G53" s="39" t="s">
        <v>1956</v>
      </c>
      <c r="I53" s="40">
        <v>93.18299999999999</v>
      </c>
      <c r="L53" s="39" t="s">
        <v>1685</v>
      </c>
      <c r="N53" s="39" t="s">
        <v>178</v>
      </c>
      <c r="O53" s="30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C53" s="39">
        <v>500.0</v>
      </c>
      <c r="AE53" s="39">
        <v>1.0</v>
      </c>
    </row>
    <row r="54">
      <c r="A54" s="39" t="s">
        <v>1957</v>
      </c>
      <c r="B54" s="39" t="s">
        <v>1952</v>
      </c>
      <c r="C54" s="39" t="s">
        <v>1953</v>
      </c>
      <c r="D54" s="39" t="s">
        <v>1845</v>
      </c>
      <c r="E54" s="39" t="s">
        <v>1771</v>
      </c>
      <c r="F54" s="39" t="s">
        <v>64</v>
      </c>
      <c r="G54" s="39" t="s">
        <v>1958</v>
      </c>
      <c r="I54" s="40">
        <v>94.07300000000001</v>
      </c>
      <c r="L54" s="39" t="s">
        <v>1685</v>
      </c>
      <c r="N54" s="39" t="s">
        <v>67</v>
      </c>
      <c r="O54" s="30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1000.0</v>
      </c>
      <c r="AE54" s="39">
        <v>1.0</v>
      </c>
    </row>
    <row r="55">
      <c r="A55" s="39" t="s">
        <v>1959</v>
      </c>
      <c r="D55" s="39" t="s">
        <v>1845</v>
      </c>
      <c r="E55" s="39" t="s">
        <v>1771</v>
      </c>
      <c r="F55" s="39" t="s">
        <v>64</v>
      </c>
      <c r="G55" s="39" t="s">
        <v>1960</v>
      </c>
      <c r="I55" s="40">
        <v>94.97800000000001</v>
      </c>
      <c r="L55" s="39" t="s">
        <v>1716</v>
      </c>
      <c r="N55" s="39" t="s">
        <v>67</v>
      </c>
      <c r="O55" s="39" t="s">
        <v>81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600.0</v>
      </c>
      <c r="AE55" s="39">
        <v>1.0</v>
      </c>
    </row>
    <row r="56">
      <c r="A56" s="39" t="s">
        <v>1961</v>
      </c>
      <c r="D56" s="39" t="s">
        <v>1845</v>
      </c>
      <c r="E56" s="39" t="s">
        <v>1771</v>
      </c>
      <c r="F56" s="39" t="s">
        <v>64</v>
      </c>
      <c r="G56" s="2" t="s">
        <v>1962</v>
      </c>
      <c r="I56" s="40">
        <v>95.568</v>
      </c>
      <c r="L56" s="39" t="s">
        <v>102</v>
      </c>
      <c r="N56" s="39" t="s">
        <v>67</v>
      </c>
      <c r="O56" s="30" t="s">
        <v>68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500.0</v>
      </c>
      <c r="AE56" s="39">
        <v>1.0</v>
      </c>
    </row>
    <row r="57">
      <c r="A57" s="39" t="s">
        <v>1963</v>
      </c>
      <c r="D57" s="39" t="s">
        <v>1845</v>
      </c>
      <c r="E57" s="39" t="s">
        <v>1771</v>
      </c>
      <c r="F57" s="39" t="s">
        <v>64</v>
      </c>
      <c r="G57" s="2" t="s">
        <v>1964</v>
      </c>
      <c r="I57" s="40">
        <v>96.158</v>
      </c>
      <c r="L57" s="39" t="s">
        <v>1716</v>
      </c>
      <c r="N57" s="39" t="s">
        <v>67</v>
      </c>
      <c r="O57" s="30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900.0</v>
      </c>
      <c r="AE57" s="39">
        <v>1.0</v>
      </c>
    </row>
    <row r="58">
      <c r="A58" s="39" t="s">
        <v>1965</v>
      </c>
      <c r="D58" s="39" t="s">
        <v>1845</v>
      </c>
      <c r="E58" s="39" t="s">
        <v>1771</v>
      </c>
      <c r="F58" s="39" t="s">
        <v>64</v>
      </c>
      <c r="G58" s="2" t="s">
        <v>1966</v>
      </c>
      <c r="I58" s="40">
        <v>96.882</v>
      </c>
      <c r="L58" s="39" t="s">
        <v>102</v>
      </c>
      <c r="N58" s="39" t="s">
        <v>67</v>
      </c>
      <c r="O58" s="30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1200.0</v>
      </c>
      <c r="AE58" s="39">
        <v>1.0</v>
      </c>
    </row>
    <row r="59">
      <c r="A59" s="39" t="s">
        <v>1967</v>
      </c>
      <c r="D59" s="39" t="s">
        <v>1845</v>
      </c>
      <c r="E59" s="39" t="s">
        <v>1771</v>
      </c>
      <c r="F59" s="39" t="s">
        <v>64</v>
      </c>
      <c r="G59" s="2" t="s">
        <v>1968</v>
      </c>
      <c r="I59" s="40">
        <v>97.604</v>
      </c>
      <c r="L59" s="39" t="s">
        <v>102</v>
      </c>
      <c r="N59" s="39" t="s">
        <v>67</v>
      </c>
      <c r="O59" s="30" t="s">
        <v>68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1400.0</v>
      </c>
      <c r="AE59" s="39">
        <v>1.0</v>
      </c>
    </row>
    <row r="60">
      <c r="A60" s="39" t="s">
        <v>1969</v>
      </c>
      <c r="D60" s="39" t="s">
        <v>1845</v>
      </c>
      <c r="E60" s="39" t="s">
        <v>1771</v>
      </c>
      <c r="F60" s="39" t="s">
        <v>64</v>
      </c>
      <c r="G60" s="2" t="s">
        <v>1970</v>
      </c>
      <c r="I60" s="40">
        <v>98.11699999999999</v>
      </c>
      <c r="L60" s="39" t="s">
        <v>102</v>
      </c>
      <c r="N60" s="39" t="s">
        <v>67</v>
      </c>
      <c r="O60" s="39" t="s">
        <v>81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500.0</v>
      </c>
      <c r="AE60" s="39">
        <v>1.0</v>
      </c>
    </row>
    <row r="61">
      <c r="A61" s="39" t="s">
        <v>1971</v>
      </c>
      <c r="B61" s="39" t="s">
        <v>1972</v>
      </c>
      <c r="C61" s="39" t="s">
        <v>1973</v>
      </c>
      <c r="D61" s="39" t="s">
        <v>1845</v>
      </c>
      <c r="E61" s="39" t="s">
        <v>1771</v>
      </c>
      <c r="F61" s="39" t="s">
        <v>64</v>
      </c>
      <c r="G61" s="2" t="s">
        <v>1974</v>
      </c>
      <c r="I61" s="40">
        <v>98.632</v>
      </c>
      <c r="L61" s="39" t="s">
        <v>1685</v>
      </c>
      <c r="N61" s="39" t="s">
        <v>67</v>
      </c>
      <c r="O61" s="30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1.0</v>
      </c>
      <c r="W61" s="39">
        <v>0.0</v>
      </c>
      <c r="X61" s="39">
        <v>0.0</v>
      </c>
      <c r="Y61" s="39">
        <v>3.0</v>
      </c>
      <c r="Z61" s="30" t="s">
        <v>1975</v>
      </c>
      <c r="AA61" s="30" t="s">
        <v>1976</v>
      </c>
      <c r="AC61" s="39">
        <v>650.0</v>
      </c>
      <c r="AE61" s="39">
        <v>1.0</v>
      </c>
    </row>
    <row r="62">
      <c r="G62" s="2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1977</v>
      </c>
      <c r="B2" s="39" t="s">
        <v>1972</v>
      </c>
      <c r="C2" s="39" t="s">
        <v>1973</v>
      </c>
      <c r="D2" s="39" t="s">
        <v>1978</v>
      </c>
      <c r="E2" s="39" t="s">
        <v>1684</v>
      </c>
      <c r="F2" s="39" t="s">
        <v>397</v>
      </c>
      <c r="G2" s="39" t="s">
        <v>65</v>
      </c>
      <c r="L2" s="39" t="s">
        <v>1685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1.0</v>
      </c>
      <c r="Z2" s="30" t="s">
        <v>1979</v>
      </c>
      <c r="AA2" s="30" t="s">
        <v>97</v>
      </c>
      <c r="AE2" s="39">
        <v>1.0</v>
      </c>
    </row>
    <row r="3">
      <c r="A3" s="39" t="s">
        <v>1980</v>
      </c>
      <c r="B3" s="39" t="s">
        <v>1972</v>
      </c>
      <c r="C3" s="39" t="s">
        <v>1973</v>
      </c>
      <c r="D3" s="39" t="s">
        <v>1978</v>
      </c>
      <c r="E3" s="39" t="s">
        <v>1684</v>
      </c>
      <c r="F3" s="39" t="s">
        <v>397</v>
      </c>
      <c r="G3" s="39" t="s">
        <v>1981</v>
      </c>
      <c r="L3" s="39" t="s">
        <v>1685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1.0</v>
      </c>
      <c r="Y3" s="39">
        <v>0.0</v>
      </c>
      <c r="Z3" s="30" t="s">
        <v>1982</v>
      </c>
      <c r="AA3" s="30" t="s">
        <v>115</v>
      </c>
      <c r="AE3" s="39">
        <v>1.0</v>
      </c>
    </row>
    <row r="4">
      <c r="A4" s="39" t="s">
        <v>1983</v>
      </c>
      <c r="B4" s="39" t="s">
        <v>1972</v>
      </c>
      <c r="C4" s="39" t="s">
        <v>1973</v>
      </c>
      <c r="D4" s="39" t="s">
        <v>1978</v>
      </c>
      <c r="E4" s="39" t="s">
        <v>1684</v>
      </c>
      <c r="F4" s="39" t="s">
        <v>397</v>
      </c>
      <c r="G4" s="39" t="s">
        <v>662</v>
      </c>
      <c r="L4" s="39" t="s">
        <v>1685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1.0</v>
      </c>
      <c r="Y4" s="39">
        <v>0.0</v>
      </c>
      <c r="Z4" s="30" t="s">
        <v>1982</v>
      </c>
      <c r="AA4" s="30" t="s">
        <v>115</v>
      </c>
      <c r="AE4" s="39">
        <v>1.0</v>
      </c>
    </row>
    <row r="5">
      <c r="A5" s="39" t="s">
        <v>1984</v>
      </c>
      <c r="B5" s="39" t="s">
        <v>1972</v>
      </c>
      <c r="C5" s="39" t="s">
        <v>1973</v>
      </c>
      <c r="D5" s="39" t="s">
        <v>1978</v>
      </c>
      <c r="E5" s="39" t="s">
        <v>1684</v>
      </c>
      <c r="F5" s="39" t="s">
        <v>397</v>
      </c>
      <c r="G5" s="39" t="s">
        <v>1684</v>
      </c>
      <c r="L5" s="39" t="s">
        <v>1685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1.0</v>
      </c>
      <c r="W5" s="39">
        <v>1.0</v>
      </c>
      <c r="X5" s="39">
        <v>1.0</v>
      </c>
      <c r="Y5" s="39">
        <v>0.0</v>
      </c>
      <c r="Z5" s="30" t="s">
        <v>1982</v>
      </c>
      <c r="AA5" s="30" t="s">
        <v>115</v>
      </c>
      <c r="AE5" s="39">
        <v>1.0</v>
      </c>
    </row>
    <row r="6">
      <c r="A6" s="39" t="s">
        <v>1985</v>
      </c>
      <c r="B6" s="39" t="s">
        <v>1972</v>
      </c>
      <c r="C6" s="39" t="s">
        <v>1973</v>
      </c>
      <c r="D6" s="39" t="s">
        <v>1978</v>
      </c>
      <c r="E6" s="39" t="s">
        <v>1684</v>
      </c>
      <c r="F6" s="39" t="s">
        <v>397</v>
      </c>
      <c r="G6" s="39" t="s">
        <v>657</v>
      </c>
      <c r="I6" s="40">
        <v>99.031</v>
      </c>
      <c r="L6" s="39" t="s">
        <v>1685</v>
      </c>
      <c r="N6" s="39" t="s">
        <v>81</v>
      </c>
      <c r="O6" s="39" t="s">
        <v>68</v>
      </c>
      <c r="Q6" s="39">
        <v>1.0</v>
      </c>
      <c r="R6" s="39">
        <v>0.0</v>
      </c>
      <c r="S6" s="39">
        <v>0.0</v>
      </c>
      <c r="T6" s="39">
        <v>0.0</v>
      </c>
      <c r="U6" s="39">
        <v>0.0</v>
      </c>
      <c r="V6" s="39">
        <v>1.0</v>
      </c>
      <c r="W6" s="39">
        <v>1.0</v>
      </c>
      <c r="X6" s="39">
        <v>1.0</v>
      </c>
      <c r="Y6" s="39">
        <v>0.0</v>
      </c>
      <c r="Z6" s="30" t="s">
        <v>1982</v>
      </c>
      <c r="AA6" s="30" t="s">
        <v>115</v>
      </c>
      <c r="AE6" s="39">
        <v>1.0</v>
      </c>
    </row>
    <row r="7">
      <c r="A7" s="39" t="s">
        <v>1986</v>
      </c>
      <c r="B7" s="39" t="s">
        <v>1972</v>
      </c>
      <c r="C7" s="39" t="s">
        <v>1973</v>
      </c>
      <c r="D7" s="39" t="s">
        <v>1978</v>
      </c>
      <c r="E7" s="39" t="s">
        <v>1684</v>
      </c>
      <c r="F7" s="39" t="s">
        <v>397</v>
      </c>
      <c r="G7" s="39" t="s">
        <v>1987</v>
      </c>
      <c r="H7" s="39" t="s">
        <v>1987</v>
      </c>
      <c r="I7" s="40">
        <v>98.505</v>
      </c>
      <c r="L7" s="39" t="s">
        <v>1685</v>
      </c>
      <c r="N7" s="39" t="s">
        <v>67</v>
      </c>
      <c r="O7" s="39" t="s">
        <v>81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E7" s="39">
        <v>1.0</v>
      </c>
    </row>
    <row r="8">
      <c r="A8" s="39" t="s">
        <v>1967</v>
      </c>
      <c r="D8" s="39" t="s">
        <v>1978</v>
      </c>
      <c r="E8" s="39" t="s">
        <v>1684</v>
      </c>
      <c r="F8" s="39" t="s">
        <v>397</v>
      </c>
      <c r="G8" s="39" t="s">
        <v>1988</v>
      </c>
      <c r="H8" s="39" t="s">
        <v>1988</v>
      </c>
      <c r="I8" s="40">
        <v>97.768</v>
      </c>
      <c r="L8" s="39" t="s">
        <v>1716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500.0</v>
      </c>
      <c r="AE8" s="39">
        <v>1.0</v>
      </c>
    </row>
    <row r="9">
      <c r="A9" s="39" t="s">
        <v>1989</v>
      </c>
      <c r="D9" s="39" t="s">
        <v>1978</v>
      </c>
      <c r="E9" s="39" t="s">
        <v>1684</v>
      </c>
      <c r="F9" s="39" t="s">
        <v>397</v>
      </c>
      <c r="G9" s="39" t="s">
        <v>1990</v>
      </c>
      <c r="H9" s="39" t="s">
        <v>1990</v>
      </c>
      <c r="I9" s="40">
        <v>97.086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600.0</v>
      </c>
      <c r="AE9" s="39">
        <v>1.0</v>
      </c>
    </row>
    <row r="10">
      <c r="A10" s="39" t="s">
        <v>1963</v>
      </c>
      <c r="D10" s="39" t="s">
        <v>1978</v>
      </c>
      <c r="E10" s="39" t="s">
        <v>1684</v>
      </c>
      <c r="F10" s="39" t="s">
        <v>397</v>
      </c>
      <c r="G10" s="39" t="s">
        <v>1991</v>
      </c>
      <c r="H10" s="39" t="s">
        <v>1991</v>
      </c>
      <c r="I10" s="40">
        <v>96.466</v>
      </c>
      <c r="L10" s="39" t="s">
        <v>1716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1000.0</v>
      </c>
      <c r="AE10" s="39">
        <v>1.0</v>
      </c>
    </row>
    <row r="11">
      <c r="A11" s="39" t="s">
        <v>1992</v>
      </c>
      <c r="D11" s="39" t="s">
        <v>1978</v>
      </c>
      <c r="E11" s="39" t="s">
        <v>1684</v>
      </c>
      <c r="F11" s="39" t="s">
        <v>397</v>
      </c>
      <c r="G11" s="39" t="s">
        <v>1993</v>
      </c>
      <c r="H11" s="39" t="s">
        <v>1993</v>
      </c>
      <c r="I11" s="40">
        <v>95.891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900.0</v>
      </c>
      <c r="AE11" s="39">
        <v>1.0</v>
      </c>
    </row>
    <row r="12">
      <c r="A12" s="39" t="s">
        <v>1959</v>
      </c>
      <c r="D12" s="39" t="s">
        <v>1978</v>
      </c>
      <c r="E12" s="39" t="s">
        <v>1684</v>
      </c>
      <c r="F12" s="39" t="s">
        <v>397</v>
      </c>
      <c r="G12" s="39" t="s">
        <v>1994</v>
      </c>
      <c r="H12" s="39" t="s">
        <v>1994</v>
      </c>
      <c r="I12" s="40">
        <v>95.054</v>
      </c>
      <c r="L12" s="39" t="s">
        <v>1716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1900.0</v>
      </c>
      <c r="AE12" s="39">
        <v>1.0</v>
      </c>
    </row>
    <row r="13">
      <c r="A13" s="39" t="s">
        <v>1995</v>
      </c>
      <c r="D13" s="39" t="s">
        <v>1978</v>
      </c>
      <c r="E13" s="39" t="s">
        <v>1684</v>
      </c>
      <c r="F13" s="39" t="s">
        <v>397</v>
      </c>
      <c r="G13" s="39" t="s">
        <v>1996</v>
      </c>
      <c r="H13" s="39" t="s">
        <v>1996</v>
      </c>
      <c r="I13" s="40">
        <v>94.241</v>
      </c>
      <c r="L13" s="39" t="s">
        <v>102</v>
      </c>
      <c r="N13" s="39" t="s">
        <v>67</v>
      </c>
      <c r="O13" s="39" t="s">
        <v>67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900.0</v>
      </c>
      <c r="AE13" s="39">
        <v>1.0</v>
      </c>
    </row>
    <row r="14">
      <c r="A14" s="39" t="s">
        <v>1997</v>
      </c>
      <c r="B14" s="39" t="s">
        <v>1952</v>
      </c>
      <c r="C14" s="39" t="s">
        <v>1953</v>
      </c>
      <c r="D14" s="39" t="s">
        <v>1978</v>
      </c>
      <c r="E14" s="39" t="s">
        <v>1684</v>
      </c>
      <c r="F14" s="39" t="s">
        <v>397</v>
      </c>
      <c r="G14" s="39" t="s">
        <v>1998</v>
      </c>
      <c r="H14" s="39" t="s">
        <v>1998</v>
      </c>
      <c r="I14" s="40">
        <v>93.011</v>
      </c>
      <c r="L14" s="39" t="s">
        <v>1685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1.0</v>
      </c>
      <c r="W14" s="39">
        <v>0.0</v>
      </c>
      <c r="X14" s="39">
        <v>1.0</v>
      </c>
      <c r="Y14" s="39">
        <v>0.0</v>
      </c>
      <c r="Z14" s="30" t="s">
        <v>1999</v>
      </c>
      <c r="AA14" s="30" t="s">
        <v>115</v>
      </c>
      <c r="AC14" s="39">
        <v>600.0</v>
      </c>
      <c r="AE14" s="39">
        <v>1.0</v>
      </c>
    </row>
    <row r="15">
      <c r="A15" s="39" t="s">
        <v>2000</v>
      </c>
      <c r="B15" s="39" t="s">
        <v>1952</v>
      </c>
      <c r="C15" s="39" t="s">
        <v>1953</v>
      </c>
      <c r="D15" s="39" t="s">
        <v>1978</v>
      </c>
      <c r="E15" s="39" t="s">
        <v>1684</v>
      </c>
      <c r="F15" s="39" t="s">
        <v>397</v>
      </c>
      <c r="G15" s="39" t="s">
        <v>662</v>
      </c>
      <c r="I15" s="40">
        <v>92.211</v>
      </c>
      <c r="L15" s="39" t="s">
        <v>1685</v>
      </c>
      <c r="N15" s="39" t="s">
        <v>1914</v>
      </c>
      <c r="O15" s="39" t="s">
        <v>68</v>
      </c>
      <c r="Q15" s="39">
        <v>0.0</v>
      </c>
      <c r="R15" s="39">
        <v>0.0</v>
      </c>
      <c r="S15" s="39">
        <v>0.0</v>
      </c>
      <c r="T15" s="39">
        <v>1.0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1200.0</v>
      </c>
      <c r="AE15" s="39">
        <v>1.0</v>
      </c>
    </row>
    <row r="16">
      <c r="A16" s="39" t="s">
        <v>2001</v>
      </c>
      <c r="B16" s="39" t="s">
        <v>1952</v>
      </c>
      <c r="C16" s="39" t="s">
        <v>1953</v>
      </c>
      <c r="D16" s="39" t="s">
        <v>1978</v>
      </c>
      <c r="E16" s="39" t="s">
        <v>1684</v>
      </c>
      <c r="F16" s="39" t="s">
        <v>397</v>
      </c>
      <c r="G16" s="39" t="s">
        <v>2002</v>
      </c>
      <c r="H16" s="39" t="s">
        <v>2002</v>
      </c>
      <c r="I16" s="40">
        <v>91.351</v>
      </c>
      <c r="L16" s="39" t="s">
        <v>1685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800.0</v>
      </c>
      <c r="AE16" s="39">
        <v>1.0</v>
      </c>
    </row>
    <row r="17">
      <c r="A17" s="39" t="s">
        <v>2003</v>
      </c>
      <c r="D17" s="39" t="s">
        <v>1978</v>
      </c>
      <c r="E17" s="39" t="s">
        <v>1684</v>
      </c>
      <c r="F17" s="39" t="s">
        <v>397</v>
      </c>
      <c r="G17" s="39" t="s">
        <v>2004</v>
      </c>
      <c r="H17" s="39" t="s">
        <v>2004</v>
      </c>
      <c r="I17" s="40">
        <v>90.551</v>
      </c>
      <c r="L17" s="39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900.0</v>
      </c>
      <c r="AE17" s="39">
        <v>1.0</v>
      </c>
    </row>
    <row r="18">
      <c r="A18" s="39" t="s">
        <v>1945</v>
      </c>
      <c r="D18" s="39" t="s">
        <v>1978</v>
      </c>
      <c r="E18" s="39" t="s">
        <v>1684</v>
      </c>
      <c r="F18" s="39" t="s">
        <v>397</v>
      </c>
      <c r="G18" s="39" t="s">
        <v>2005</v>
      </c>
      <c r="H18" s="39" t="s">
        <v>2005</v>
      </c>
      <c r="I18" s="40">
        <v>89.868</v>
      </c>
      <c r="L18" s="39" t="s">
        <v>1716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800.0</v>
      </c>
      <c r="AE18" s="39">
        <v>1.0</v>
      </c>
    </row>
    <row r="19">
      <c r="A19" s="39" t="s">
        <v>2006</v>
      </c>
      <c r="D19" s="39" t="s">
        <v>1978</v>
      </c>
      <c r="E19" s="39" t="s">
        <v>1684</v>
      </c>
      <c r="F19" s="39" t="s">
        <v>397</v>
      </c>
      <c r="G19" s="39" t="s">
        <v>2007</v>
      </c>
      <c r="H19" s="39" t="s">
        <v>2007</v>
      </c>
      <c r="I19" s="40">
        <v>88.963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700.0</v>
      </c>
      <c r="AE19" s="39">
        <v>1.0</v>
      </c>
    </row>
    <row r="20">
      <c r="A20" s="39" t="s">
        <v>2008</v>
      </c>
      <c r="D20" s="39" t="s">
        <v>1978</v>
      </c>
      <c r="E20" s="39" t="s">
        <v>1684</v>
      </c>
      <c r="F20" s="39" t="s">
        <v>397</v>
      </c>
      <c r="G20" s="39" t="s">
        <v>2009</v>
      </c>
      <c r="H20" s="39" t="s">
        <v>2009</v>
      </c>
      <c r="I20" s="40">
        <v>88.038</v>
      </c>
      <c r="L20" s="39" t="s">
        <v>102</v>
      </c>
      <c r="N20" s="39" t="s">
        <v>67</v>
      </c>
      <c r="O20" s="39" t="s">
        <v>67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300.0</v>
      </c>
      <c r="AE20" s="39">
        <v>1.0</v>
      </c>
    </row>
    <row r="21">
      <c r="A21" s="39" t="s">
        <v>2010</v>
      </c>
      <c r="D21" s="39" t="s">
        <v>1978</v>
      </c>
      <c r="E21" s="39" t="s">
        <v>1684</v>
      </c>
      <c r="F21" s="39" t="s">
        <v>397</v>
      </c>
      <c r="G21" s="39" t="s">
        <v>2011</v>
      </c>
      <c r="H21" s="39" t="s">
        <v>2011</v>
      </c>
      <c r="I21" s="40">
        <v>87.362</v>
      </c>
      <c r="L21" s="39" t="s">
        <v>102</v>
      </c>
      <c r="N21" s="39" t="s">
        <v>67</v>
      </c>
      <c r="O21" s="39" t="s">
        <v>67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250.0</v>
      </c>
      <c r="AE21" s="39">
        <v>1.0</v>
      </c>
    </row>
    <row r="22">
      <c r="A22" s="39" t="s">
        <v>2012</v>
      </c>
      <c r="B22" s="39" t="s">
        <v>1932</v>
      </c>
      <c r="C22" s="39" t="s">
        <v>1933</v>
      </c>
      <c r="D22" s="39" t="s">
        <v>1978</v>
      </c>
      <c r="E22" s="39" t="s">
        <v>1684</v>
      </c>
      <c r="F22" s="39" t="s">
        <v>397</v>
      </c>
      <c r="G22" s="39" t="s">
        <v>2013</v>
      </c>
      <c r="H22" s="39" t="s">
        <v>2013</v>
      </c>
      <c r="I22" s="40">
        <v>86.486</v>
      </c>
      <c r="L22" s="39" t="s">
        <v>1685</v>
      </c>
      <c r="N22" s="39" t="s">
        <v>67</v>
      </c>
      <c r="O22" s="39" t="s">
        <v>81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250.0</v>
      </c>
      <c r="AE22" s="39">
        <v>1.0</v>
      </c>
    </row>
    <row r="23">
      <c r="A23" s="39" t="s">
        <v>2014</v>
      </c>
      <c r="B23" s="39" t="s">
        <v>1932</v>
      </c>
      <c r="C23" s="39" t="s">
        <v>1933</v>
      </c>
      <c r="D23" s="39" t="s">
        <v>1978</v>
      </c>
      <c r="E23" s="39" t="s">
        <v>1684</v>
      </c>
      <c r="F23" s="39" t="s">
        <v>397</v>
      </c>
      <c r="G23" s="39" t="s">
        <v>662</v>
      </c>
      <c r="I23" s="40">
        <v>85.59</v>
      </c>
      <c r="L23" s="39" t="s">
        <v>1685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1.0</v>
      </c>
      <c r="W23" s="39">
        <v>1.0</v>
      </c>
      <c r="X23" s="39">
        <v>1.0</v>
      </c>
      <c r="Y23" s="39">
        <v>0.0</v>
      </c>
      <c r="Z23" s="30" t="s">
        <v>1787</v>
      </c>
      <c r="AA23" s="30" t="s">
        <v>115</v>
      </c>
      <c r="AC23" s="39">
        <v>700.0</v>
      </c>
      <c r="AE23" s="39">
        <v>1.0</v>
      </c>
    </row>
    <row r="24">
      <c r="A24" s="39" t="s">
        <v>2015</v>
      </c>
      <c r="B24" s="39" t="s">
        <v>1932</v>
      </c>
      <c r="C24" s="39" t="s">
        <v>1933</v>
      </c>
      <c r="D24" s="39" t="s">
        <v>1978</v>
      </c>
      <c r="E24" s="39" t="s">
        <v>1684</v>
      </c>
      <c r="F24" s="39" t="s">
        <v>397</v>
      </c>
      <c r="G24" s="39" t="s">
        <v>2016</v>
      </c>
      <c r="H24" s="39" t="s">
        <v>2016</v>
      </c>
      <c r="I24" s="40">
        <v>84.833</v>
      </c>
      <c r="L24" s="39" t="s">
        <v>1685</v>
      </c>
      <c r="N24" s="39" t="s">
        <v>119</v>
      </c>
      <c r="O24" s="39" t="s">
        <v>68</v>
      </c>
      <c r="Q24" s="39">
        <v>0.0</v>
      </c>
      <c r="R24" s="39">
        <v>1.0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400.0</v>
      </c>
      <c r="AE24" s="39">
        <v>1.0</v>
      </c>
    </row>
    <row r="25">
      <c r="A25" s="39" t="s">
        <v>2017</v>
      </c>
      <c r="D25" s="39" t="s">
        <v>1978</v>
      </c>
      <c r="E25" s="39" t="s">
        <v>1684</v>
      </c>
      <c r="F25" s="39" t="s">
        <v>397</v>
      </c>
      <c r="G25" s="39" t="s">
        <v>2018</v>
      </c>
      <c r="H25" s="39" t="s">
        <v>2018</v>
      </c>
      <c r="I25" s="40">
        <v>84.008</v>
      </c>
      <c r="L25" s="39" t="s">
        <v>1716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600.0</v>
      </c>
      <c r="AE25" s="39">
        <v>1.0</v>
      </c>
    </row>
    <row r="26">
      <c r="A26" s="39" t="s">
        <v>2019</v>
      </c>
      <c r="D26" s="39" t="s">
        <v>1978</v>
      </c>
      <c r="E26" s="39" t="s">
        <v>1684</v>
      </c>
      <c r="F26" s="39" t="s">
        <v>397</v>
      </c>
      <c r="G26" s="39" t="s">
        <v>2020</v>
      </c>
      <c r="H26" s="39" t="s">
        <v>2020</v>
      </c>
      <c r="I26" s="40">
        <v>83.36699999999999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450.0</v>
      </c>
      <c r="AE26" s="39">
        <v>1.0</v>
      </c>
    </row>
    <row r="27">
      <c r="A27" s="39" t="s">
        <v>2021</v>
      </c>
      <c r="D27" s="39" t="s">
        <v>1978</v>
      </c>
      <c r="E27" s="39" t="s">
        <v>1684</v>
      </c>
      <c r="F27" s="39" t="s">
        <v>397</v>
      </c>
      <c r="G27" s="39" t="s">
        <v>2022</v>
      </c>
      <c r="H27" s="39" t="s">
        <v>2022</v>
      </c>
      <c r="I27" s="40">
        <v>82.842</v>
      </c>
      <c r="L27" s="39" t="s">
        <v>102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900.0</v>
      </c>
      <c r="AE27" s="39">
        <v>1.0</v>
      </c>
    </row>
    <row r="28">
      <c r="A28" s="39" t="s">
        <v>2023</v>
      </c>
      <c r="D28" s="39" t="s">
        <v>1978</v>
      </c>
      <c r="E28" s="39" t="s">
        <v>1684</v>
      </c>
      <c r="F28" s="39" t="s">
        <v>397</v>
      </c>
      <c r="G28" s="39" t="s">
        <v>2024</v>
      </c>
      <c r="H28" s="39" t="s">
        <v>2024</v>
      </c>
      <c r="I28" s="40">
        <v>82.126</v>
      </c>
      <c r="L28" s="39" t="s">
        <v>102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500.0</v>
      </c>
      <c r="AE28" s="39">
        <v>1.0</v>
      </c>
    </row>
    <row r="29">
      <c r="A29" s="39" t="s">
        <v>1921</v>
      </c>
      <c r="D29" s="39" t="s">
        <v>1978</v>
      </c>
      <c r="E29" s="39" t="s">
        <v>1684</v>
      </c>
      <c r="F29" s="39" t="s">
        <v>397</v>
      </c>
      <c r="G29" s="39" t="s">
        <v>2025</v>
      </c>
      <c r="H29" s="39" t="s">
        <v>2025</v>
      </c>
      <c r="I29" s="40">
        <v>81.424</v>
      </c>
      <c r="L29" s="39" t="s">
        <v>1716</v>
      </c>
      <c r="N29" s="39" t="s">
        <v>67</v>
      </c>
      <c r="O29" s="39" t="s">
        <v>67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500.0</v>
      </c>
      <c r="AE29" s="39">
        <v>1.0</v>
      </c>
    </row>
    <row r="30">
      <c r="A30" s="39" t="s">
        <v>2026</v>
      </c>
      <c r="D30" s="39" t="s">
        <v>1978</v>
      </c>
      <c r="E30" s="39" t="s">
        <v>1684</v>
      </c>
      <c r="F30" s="39" t="s">
        <v>397</v>
      </c>
      <c r="G30" s="39" t="s">
        <v>2027</v>
      </c>
      <c r="H30" s="39" t="s">
        <v>2027</v>
      </c>
      <c r="I30" s="40">
        <v>80.728</v>
      </c>
      <c r="L30" s="39" t="s">
        <v>102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400.0</v>
      </c>
      <c r="AE30" s="39">
        <v>1.0</v>
      </c>
    </row>
    <row r="31">
      <c r="A31" s="39" t="s">
        <v>1917</v>
      </c>
      <c r="D31" s="39" t="s">
        <v>1978</v>
      </c>
      <c r="E31" s="39" t="s">
        <v>1684</v>
      </c>
      <c r="F31" s="39" t="s">
        <v>397</v>
      </c>
      <c r="G31" s="39" t="s">
        <v>2028</v>
      </c>
      <c r="H31" s="39" t="s">
        <v>2028</v>
      </c>
      <c r="I31" s="40">
        <v>80.128</v>
      </c>
      <c r="L31" s="39" t="s">
        <v>1716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600.0</v>
      </c>
      <c r="AE31" s="39">
        <v>1.0</v>
      </c>
    </row>
    <row r="32">
      <c r="A32" s="39" t="s">
        <v>2029</v>
      </c>
      <c r="D32" s="39" t="s">
        <v>1978</v>
      </c>
      <c r="E32" s="39" t="s">
        <v>1684</v>
      </c>
      <c r="F32" s="39" t="s">
        <v>397</v>
      </c>
      <c r="G32" s="39" t="s">
        <v>2030</v>
      </c>
      <c r="H32" s="39" t="s">
        <v>2030</v>
      </c>
      <c r="I32" s="40">
        <v>79.52799999999999</v>
      </c>
      <c r="L32" s="39" t="s">
        <v>102</v>
      </c>
      <c r="N32" s="39" t="s">
        <v>67</v>
      </c>
      <c r="O32" s="39" t="s">
        <v>67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C32" s="39">
        <v>250.0</v>
      </c>
      <c r="AE32" s="39">
        <v>1.0</v>
      </c>
    </row>
    <row r="33">
      <c r="A33" s="39" t="s">
        <v>2031</v>
      </c>
      <c r="B33" s="39" t="s">
        <v>1908</v>
      </c>
      <c r="C33" s="39" t="s">
        <v>1909</v>
      </c>
      <c r="D33" s="39" t="s">
        <v>1978</v>
      </c>
      <c r="E33" s="39" t="s">
        <v>1684</v>
      </c>
      <c r="F33" s="39" t="s">
        <v>397</v>
      </c>
      <c r="G33" s="39" t="s">
        <v>2032</v>
      </c>
      <c r="H33" s="39" t="s">
        <v>2032</v>
      </c>
      <c r="I33" s="40">
        <v>78.508</v>
      </c>
      <c r="L33" s="39" t="s">
        <v>1685</v>
      </c>
      <c r="N33" s="39" t="s">
        <v>67</v>
      </c>
      <c r="O33" s="39" t="s">
        <v>81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1.0</v>
      </c>
      <c r="W33" s="39">
        <v>0.0</v>
      </c>
      <c r="X33" s="39">
        <v>1.0</v>
      </c>
      <c r="Y33" s="39">
        <v>0.0</v>
      </c>
      <c r="Z33" s="30" t="s">
        <v>1999</v>
      </c>
      <c r="AA33" s="30" t="s">
        <v>115</v>
      </c>
      <c r="AC33" s="39">
        <v>350.0</v>
      </c>
      <c r="AE33" s="39">
        <v>1.0</v>
      </c>
    </row>
    <row r="34">
      <c r="A34" s="39" t="s">
        <v>2033</v>
      </c>
      <c r="B34" s="39" t="s">
        <v>1908</v>
      </c>
      <c r="C34" s="39" t="s">
        <v>1909</v>
      </c>
      <c r="D34" s="39" t="s">
        <v>1978</v>
      </c>
      <c r="E34" s="39" t="s">
        <v>1684</v>
      </c>
      <c r="F34" s="39" t="s">
        <v>397</v>
      </c>
      <c r="G34" s="39" t="s">
        <v>662</v>
      </c>
      <c r="I34" s="40">
        <v>77.93299999999999</v>
      </c>
      <c r="L34" s="39" t="s">
        <v>1685</v>
      </c>
      <c r="N34" s="39" t="s">
        <v>1914</v>
      </c>
      <c r="O34" s="39" t="s">
        <v>68</v>
      </c>
      <c r="Q34" s="39">
        <v>0.0</v>
      </c>
      <c r="R34" s="39">
        <v>0.0</v>
      </c>
      <c r="S34" s="39">
        <v>0.0</v>
      </c>
      <c r="T34" s="39">
        <v>1.0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350.0</v>
      </c>
      <c r="AE34" s="39">
        <v>1.0</v>
      </c>
    </row>
    <row r="35">
      <c r="A35" s="39" t="s">
        <v>2034</v>
      </c>
      <c r="B35" s="39" t="s">
        <v>1908</v>
      </c>
      <c r="C35" s="39" t="s">
        <v>1909</v>
      </c>
      <c r="D35" s="39" t="s">
        <v>1978</v>
      </c>
      <c r="E35" s="39" t="s">
        <v>1684</v>
      </c>
      <c r="F35" s="39" t="s">
        <v>397</v>
      </c>
      <c r="G35" s="39" t="s">
        <v>2035</v>
      </c>
      <c r="H35" s="39" t="s">
        <v>2035</v>
      </c>
      <c r="I35" s="40">
        <v>76.963</v>
      </c>
      <c r="L35" s="39" t="s">
        <v>1685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250.0</v>
      </c>
      <c r="AE35" s="39">
        <v>1.0</v>
      </c>
    </row>
    <row r="36">
      <c r="A36" s="39" t="s">
        <v>1903</v>
      </c>
      <c r="D36" s="39" t="s">
        <v>1978</v>
      </c>
      <c r="E36" s="39" t="s">
        <v>1684</v>
      </c>
      <c r="F36" s="39" t="s">
        <v>397</v>
      </c>
      <c r="G36" s="39" t="s">
        <v>2036</v>
      </c>
      <c r="H36" s="39" t="s">
        <v>2036</v>
      </c>
      <c r="I36" s="40">
        <v>76.388</v>
      </c>
      <c r="L36" s="39" t="s">
        <v>1716</v>
      </c>
      <c r="N36" s="39" t="s">
        <v>67</v>
      </c>
      <c r="O36" s="39" t="s">
        <v>81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1200.0</v>
      </c>
      <c r="AE36" s="39">
        <v>1.0</v>
      </c>
    </row>
    <row r="37">
      <c r="A37" s="39" t="s">
        <v>2037</v>
      </c>
      <c r="D37" s="39" t="s">
        <v>1978</v>
      </c>
      <c r="E37" s="39" t="s">
        <v>1684</v>
      </c>
      <c r="F37" s="39" t="s">
        <v>397</v>
      </c>
      <c r="G37" s="39" t="s">
        <v>2038</v>
      </c>
      <c r="H37" s="39" t="s">
        <v>2038</v>
      </c>
      <c r="I37" s="40">
        <v>75.82300000000001</v>
      </c>
      <c r="L37" s="39" t="s">
        <v>102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500.0</v>
      </c>
      <c r="AE37" s="39">
        <v>1.0</v>
      </c>
    </row>
    <row r="38">
      <c r="A38" s="39" t="s">
        <v>2039</v>
      </c>
      <c r="D38" s="39" t="s">
        <v>1978</v>
      </c>
      <c r="E38" s="39" t="s">
        <v>1684</v>
      </c>
      <c r="F38" s="39" t="s">
        <v>397</v>
      </c>
      <c r="G38" s="39" t="s">
        <v>2040</v>
      </c>
      <c r="H38" s="39" t="s">
        <v>2040</v>
      </c>
      <c r="I38" s="40">
        <v>74.963</v>
      </c>
      <c r="L38" s="39" t="s">
        <v>102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500.0</v>
      </c>
      <c r="AE38" s="39">
        <v>1.0</v>
      </c>
    </row>
    <row r="39">
      <c r="A39" s="39" t="s">
        <v>2041</v>
      </c>
      <c r="D39" s="39" t="s">
        <v>1978</v>
      </c>
      <c r="E39" s="39" t="s">
        <v>1684</v>
      </c>
      <c r="F39" s="39" t="s">
        <v>397</v>
      </c>
      <c r="G39" s="39" t="s">
        <v>2042</v>
      </c>
      <c r="H39" s="39" t="s">
        <v>2042</v>
      </c>
      <c r="I39" s="40">
        <v>74.063</v>
      </c>
      <c r="L39" s="39" t="s">
        <v>102</v>
      </c>
      <c r="N39" s="39" t="s">
        <v>67</v>
      </c>
      <c r="O39" s="39" t="s">
        <v>67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300.0</v>
      </c>
      <c r="AE39" s="39">
        <v>1.0</v>
      </c>
    </row>
    <row r="40">
      <c r="A40" s="39" t="s">
        <v>2043</v>
      </c>
      <c r="D40" s="39" t="s">
        <v>1978</v>
      </c>
      <c r="E40" s="39" t="s">
        <v>1684</v>
      </c>
      <c r="F40" s="39" t="s">
        <v>397</v>
      </c>
      <c r="G40" s="39" t="s">
        <v>2044</v>
      </c>
      <c r="H40" s="39" t="s">
        <v>2044</v>
      </c>
      <c r="I40" s="40">
        <v>73.228</v>
      </c>
      <c r="L40" s="39" t="s">
        <v>102</v>
      </c>
      <c r="N40" s="39" t="s">
        <v>67</v>
      </c>
      <c r="O40" s="39" t="s">
        <v>81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200.0</v>
      </c>
      <c r="AE40" s="39">
        <v>1.0</v>
      </c>
    </row>
    <row r="41">
      <c r="A41" s="39" t="s">
        <v>2045</v>
      </c>
      <c r="D41" s="39" t="s">
        <v>1978</v>
      </c>
      <c r="E41" s="39" t="s">
        <v>1684</v>
      </c>
      <c r="F41" s="39" t="s">
        <v>397</v>
      </c>
      <c r="G41" s="39" t="s">
        <v>2046</v>
      </c>
      <c r="H41" s="39" t="s">
        <v>2046</v>
      </c>
      <c r="I41" s="40">
        <v>72.348</v>
      </c>
      <c r="L41" s="39" t="s">
        <v>102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700.0</v>
      </c>
      <c r="AE41" s="39">
        <v>1.0</v>
      </c>
    </row>
    <row r="42">
      <c r="A42" s="39" t="s">
        <v>2047</v>
      </c>
      <c r="D42" s="39" t="s">
        <v>1978</v>
      </c>
      <c r="E42" s="39" t="s">
        <v>1684</v>
      </c>
      <c r="F42" s="39" t="s">
        <v>397</v>
      </c>
      <c r="G42" s="39" t="s">
        <v>2048</v>
      </c>
      <c r="H42" s="39" t="s">
        <v>2048</v>
      </c>
      <c r="I42" s="40">
        <v>71.398</v>
      </c>
      <c r="L42" s="39" t="s">
        <v>102</v>
      </c>
      <c r="N42" s="39" t="s">
        <v>67</v>
      </c>
      <c r="O42" s="39" t="s">
        <v>67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250.0</v>
      </c>
      <c r="AE42" s="39">
        <v>1.0</v>
      </c>
    </row>
    <row r="43">
      <c r="A43" s="39" t="s">
        <v>2049</v>
      </c>
      <c r="D43" s="39" t="s">
        <v>1978</v>
      </c>
      <c r="E43" s="39" t="s">
        <v>1684</v>
      </c>
      <c r="F43" s="39" t="s">
        <v>397</v>
      </c>
      <c r="G43" s="39" t="s">
        <v>2050</v>
      </c>
      <c r="H43" s="39" t="s">
        <v>2050</v>
      </c>
      <c r="I43" s="40">
        <v>70.44800000000001</v>
      </c>
      <c r="L43" s="39" t="s">
        <v>102</v>
      </c>
      <c r="N43" s="39" t="s">
        <v>67</v>
      </c>
      <c r="O43" s="39" t="s">
        <v>67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C43" s="39">
        <v>400.0</v>
      </c>
      <c r="AE43" s="39">
        <v>1.0</v>
      </c>
    </row>
    <row r="44">
      <c r="A44" s="39" t="s">
        <v>2051</v>
      </c>
      <c r="D44" s="39" t="s">
        <v>1978</v>
      </c>
      <c r="E44" s="39" t="s">
        <v>1684</v>
      </c>
      <c r="F44" s="39" t="s">
        <v>397</v>
      </c>
      <c r="G44" s="39" t="s">
        <v>2052</v>
      </c>
      <c r="H44" s="39" t="s">
        <v>2052</v>
      </c>
      <c r="I44" s="40">
        <v>69.548</v>
      </c>
      <c r="L44" s="39" t="s">
        <v>102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900.0</v>
      </c>
      <c r="AE44" s="39">
        <v>1.0</v>
      </c>
    </row>
    <row r="45">
      <c r="A45" s="39" t="s">
        <v>2053</v>
      </c>
      <c r="B45" s="39" t="s">
        <v>1879</v>
      </c>
      <c r="C45" s="39" t="s">
        <v>1880</v>
      </c>
      <c r="D45" s="39" t="s">
        <v>1978</v>
      </c>
      <c r="E45" s="39" t="s">
        <v>1684</v>
      </c>
      <c r="F45" s="39" t="s">
        <v>397</v>
      </c>
      <c r="G45" s="39" t="s">
        <v>2054</v>
      </c>
      <c r="H45" s="39" t="s">
        <v>2054</v>
      </c>
      <c r="I45" s="40">
        <v>68.41</v>
      </c>
      <c r="L45" s="39" t="s">
        <v>1685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1.0</v>
      </c>
      <c r="W45" s="39">
        <v>0.0</v>
      </c>
      <c r="X45" s="39">
        <v>1.0</v>
      </c>
      <c r="Y45" s="39">
        <v>0.0</v>
      </c>
      <c r="AC45" s="39">
        <v>600.0</v>
      </c>
      <c r="AE45" s="39">
        <v>1.0</v>
      </c>
    </row>
    <row r="46">
      <c r="A46" s="39" t="s">
        <v>2055</v>
      </c>
      <c r="B46" s="39" t="s">
        <v>1879</v>
      </c>
      <c r="C46" s="39" t="s">
        <v>1880</v>
      </c>
      <c r="D46" s="39" t="s">
        <v>1978</v>
      </c>
      <c r="E46" s="39" t="s">
        <v>1684</v>
      </c>
      <c r="F46" s="39" t="s">
        <v>397</v>
      </c>
      <c r="G46" s="39" t="s">
        <v>2056</v>
      </c>
      <c r="H46" s="39" t="s">
        <v>2056</v>
      </c>
      <c r="I46" s="40">
        <v>67.60300000000001</v>
      </c>
      <c r="L46" s="39" t="s">
        <v>1685</v>
      </c>
      <c r="N46" s="39" t="s">
        <v>1914</v>
      </c>
      <c r="O46" s="39" t="s">
        <v>67</v>
      </c>
      <c r="Q46" s="39">
        <v>0.0</v>
      </c>
      <c r="R46" s="39">
        <v>0.0</v>
      </c>
      <c r="S46" s="39">
        <v>0.0</v>
      </c>
      <c r="T46" s="39">
        <v>1.0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200.0</v>
      </c>
      <c r="AE46" s="39">
        <v>1.0</v>
      </c>
    </row>
    <row r="47">
      <c r="A47" s="39" t="s">
        <v>2057</v>
      </c>
      <c r="B47" s="39" t="s">
        <v>1879</v>
      </c>
      <c r="C47" s="39" t="s">
        <v>1880</v>
      </c>
      <c r="D47" s="39" t="s">
        <v>1978</v>
      </c>
      <c r="E47" s="39" t="s">
        <v>1684</v>
      </c>
      <c r="F47" s="39" t="s">
        <v>397</v>
      </c>
      <c r="G47" s="39" t="s">
        <v>65</v>
      </c>
      <c r="I47" s="40">
        <v>67.202</v>
      </c>
      <c r="L47" s="39" t="s">
        <v>1685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450.0</v>
      </c>
      <c r="AE47" s="39">
        <v>1.0</v>
      </c>
    </row>
    <row r="48">
      <c r="A48" s="39" t="s">
        <v>2058</v>
      </c>
      <c r="B48" s="39" t="s">
        <v>1879</v>
      </c>
      <c r="C48" s="39" t="s">
        <v>1880</v>
      </c>
      <c r="D48" s="39" t="s">
        <v>1978</v>
      </c>
      <c r="E48" s="39" t="s">
        <v>1684</v>
      </c>
      <c r="F48" s="39" t="s">
        <v>397</v>
      </c>
      <c r="G48" s="39" t="s">
        <v>1693</v>
      </c>
      <c r="H48" s="39" t="s">
        <v>1693</v>
      </c>
      <c r="I48" s="40">
        <v>66.193</v>
      </c>
      <c r="L48" s="39" t="s">
        <v>1685</v>
      </c>
      <c r="N48" s="39" t="s">
        <v>67</v>
      </c>
      <c r="O48" s="39" t="s">
        <v>68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200.0</v>
      </c>
      <c r="AE48" s="39">
        <v>1.0</v>
      </c>
    </row>
    <row r="49">
      <c r="A49" s="39" t="s">
        <v>2059</v>
      </c>
      <c r="D49" s="39" t="s">
        <v>1978</v>
      </c>
      <c r="E49" s="39" t="s">
        <v>1684</v>
      </c>
      <c r="F49" s="39" t="s">
        <v>397</v>
      </c>
      <c r="G49" s="39" t="s">
        <v>2060</v>
      </c>
      <c r="H49" s="39" t="s">
        <v>2060</v>
      </c>
      <c r="I49" s="40">
        <v>65.227</v>
      </c>
      <c r="L49" s="39" t="s">
        <v>102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250.0</v>
      </c>
      <c r="AE49" s="39">
        <v>1.0</v>
      </c>
    </row>
    <row r="50">
      <c r="A50" s="39" t="s">
        <v>2061</v>
      </c>
      <c r="D50" s="39" t="s">
        <v>1978</v>
      </c>
      <c r="E50" s="39" t="s">
        <v>1684</v>
      </c>
      <c r="F50" s="39" t="s">
        <v>397</v>
      </c>
      <c r="G50" s="39" t="s">
        <v>2062</v>
      </c>
      <c r="H50" s="39" t="s">
        <v>2062</v>
      </c>
      <c r="I50" s="40">
        <v>64.06700000000001</v>
      </c>
      <c r="L50" s="39" t="s">
        <v>102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600.0</v>
      </c>
      <c r="AE50" s="39">
        <v>1.0</v>
      </c>
    </row>
    <row r="51">
      <c r="A51" s="39" t="s">
        <v>1868</v>
      </c>
      <c r="D51" s="39" t="s">
        <v>1978</v>
      </c>
      <c r="E51" s="39" t="s">
        <v>1684</v>
      </c>
      <c r="F51" s="39" t="s">
        <v>397</v>
      </c>
      <c r="G51" s="39" t="s">
        <v>2063</v>
      </c>
      <c r="H51" s="39" t="s">
        <v>2063</v>
      </c>
      <c r="I51" s="40">
        <v>63.491</v>
      </c>
      <c r="L51" s="39" t="s">
        <v>1716</v>
      </c>
      <c r="N51" s="39" t="s">
        <v>67</v>
      </c>
      <c r="O51" s="39" t="s">
        <v>81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500.0</v>
      </c>
      <c r="AE51" s="39">
        <v>1.0</v>
      </c>
    </row>
    <row r="52">
      <c r="A52" s="39" t="s">
        <v>2064</v>
      </c>
      <c r="D52" s="39" t="s">
        <v>1978</v>
      </c>
      <c r="E52" s="39" t="s">
        <v>1684</v>
      </c>
      <c r="F52" s="39" t="s">
        <v>397</v>
      </c>
      <c r="G52" s="39" t="s">
        <v>2065</v>
      </c>
      <c r="H52" s="39" t="s">
        <v>2065</v>
      </c>
      <c r="I52" s="40">
        <v>62.689</v>
      </c>
      <c r="L52" s="39" t="s">
        <v>102</v>
      </c>
      <c r="N52" s="39" t="s">
        <v>119</v>
      </c>
      <c r="O52" s="39" t="s">
        <v>67</v>
      </c>
      <c r="Q52" s="39">
        <v>0.0</v>
      </c>
      <c r="R52" s="39">
        <v>1.0</v>
      </c>
      <c r="S52" s="39">
        <v>0.0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600.0</v>
      </c>
      <c r="AE52" s="39">
        <v>1.0</v>
      </c>
    </row>
    <row r="53">
      <c r="A53" s="39" t="s">
        <v>2066</v>
      </c>
      <c r="D53" s="39" t="s">
        <v>1978</v>
      </c>
      <c r="E53" s="39" t="s">
        <v>1684</v>
      </c>
      <c r="F53" s="39" t="s">
        <v>397</v>
      </c>
      <c r="G53" s="39" t="s">
        <v>2067</v>
      </c>
      <c r="H53" s="39" t="s">
        <v>2067</v>
      </c>
      <c r="I53" s="40">
        <v>61.789</v>
      </c>
      <c r="L53" s="39" t="s">
        <v>102</v>
      </c>
      <c r="N53" s="39" t="s">
        <v>67</v>
      </c>
      <c r="O53" s="39" t="s">
        <v>67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E53" s="39">
        <v>1.0</v>
      </c>
    </row>
    <row r="54">
      <c r="A54" s="39" t="s">
        <v>2068</v>
      </c>
      <c r="B54" s="39" t="s">
        <v>1857</v>
      </c>
      <c r="C54" s="39" t="s">
        <v>1858</v>
      </c>
      <c r="D54" s="39" t="s">
        <v>1978</v>
      </c>
      <c r="E54" s="39" t="s">
        <v>1684</v>
      </c>
      <c r="F54" s="39" t="s">
        <v>397</v>
      </c>
      <c r="G54" s="39" t="s">
        <v>2069</v>
      </c>
      <c r="H54" s="39" t="s">
        <v>2069</v>
      </c>
      <c r="I54" s="40">
        <v>60.73</v>
      </c>
      <c r="L54" s="39" t="s">
        <v>1685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1.0</v>
      </c>
      <c r="W54" s="39">
        <v>0.0</v>
      </c>
      <c r="X54" s="39">
        <v>1.0</v>
      </c>
      <c r="Y54" s="39">
        <v>0.0</v>
      </c>
      <c r="Z54" s="30" t="s">
        <v>1999</v>
      </c>
      <c r="AA54" s="30" t="s">
        <v>115</v>
      </c>
      <c r="AC54" s="39">
        <v>1000.0</v>
      </c>
      <c r="AE54" s="39">
        <v>1.0</v>
      </c>
    </row>
    <row r="55">
      <c r="A55" s="39" t="s">
        <v>2070</v>
      </c>
      <c r="B55" s="39" t="s">
        <v>1857</v>
      </c>
      <c r="C55" s="39" t="s">
        <v>1858</v>
      </c>
      <c r="D55" s="39" t="s">
        <v>1978</v>
      </c>
      <c r="E55" s="39" t="s">
        <v>1684</v>
      </c>
      <c r="F55" s="39" t="s">
        <v>397</v>
      </c>
      <c r="G55" s="39" t="s">
        <v>2071</v>
      </c>
      <c r="H55" s="39" t="s">
        <v>2071</v>
      </c>
      <c r="I55" s="40">
        <v>60.135999999999996</v>
      </c>
      <c r="L55" s="39" t="s">
        <v>1685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1.0</v>
      </c>
      <c r="W55" s="39">
        <v>0.0</v>
      </c>
      <c r="X55" s="39">
        <v>0.0</v>
      </c>
      <c r="Y55" s="39">
        <v>1.0</v>
      </c>
      <c r="Z55" s="30" t="s">
        <v>1100</v>
      </c>
      <c r="AA55" s="30" t="s">
        <v>97</v>
      </c>
      <c r="AC55" s="39">
        <v>850.0</v>
      </c>
      <c r="AE55" s="39">
        <v>1.0</v>
      </c>
    </row>
    <row r="56">
      <c r="A56" s="39" t="s">
        <v>2072</v>
      </c>
      <c r="B56" s="39" t="s">
        <v>1857</v>
      </c>
      <c r="C56" s="39" t="s">
        <v>1858</v>
      </c>
      <c r="D56" s="39" t="s">
        <v>1978</v>
      </c>
      <c r="E56" s="39" t="s">
        <v>1684</v>
      </c>
      <c r="F56" s="39" t="s">
        <v>397</v>
      </c>
      <c r="G56" s="39" t="s">
        <v>65</v>
      </c>
      <c r="I56" s="40">
        <v>59.332</v>
      </c>
      <c r="L56" s="39" t="s">
        <v>1685</v>
      </c>
      <c r="N56" s="39" t="s">
        <v>67</v>
      </c>
      <c r="O56" s="39" t="s">
        <v>68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400.0</v>
      </c>
      <c r="AE56" s="39">
        <v>1.0</v>
      </c>
    </row>
    <row r="57">
      <c r="A57" s="39" t="s">
        <v>2073</v>
      </c>
      <c r="D57" s="39" t="s">
        <v>1978</v>
      </c>
      <c r="E57" s="39" t="s">
        <v>1684</v>
      </c>
      <c r="F57" s="39" t="s">
        <v>397</v>
      </c>
      <c r="G57" s="39" t="s">
        <v>2074</v>
      </c>
      <c r="H57" s="39" t="s">
        <v>2074</v>
      </c>
      <c r="I57" s="40">
        <v>58.24</v>
      </c>
      <c r="L57" s="39" t="s">
        <v>1685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350.0</v>
      </c>
      <c r="AE57" s="39">
        <v>1.0</v>
      </c>
    </row>
    <row r="58">
      <c r="A58" s="39" t="s">
        <v>2075</v>
      </c>
      <c r="D58" s="39" t="s">
        <v>1978</v>
      </c>
      <c r="E58" s="39" t="s">
        <v>1684</v>
      </c>
      <c r="F58" s="39" t="s">
        <v>397</v>
      </c>
      <c r="G58" s="39" t="s">
        <v>2076</v>
      </c>
      <c r="H58" s="39" t="s">
        <v>2076</v>
      </c>
      <c r="I58" s="40">
        <v>57.473</v>
      </c>
      <c r="L58" s="39" t="s">
        <v>102</v>
      </c>
      <c r="N58" s="39" t="s">
        <v>67</v>
      </c>
      <c r="O58" s="39" t="s">
        <v>81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600.0</v>
      </c>
      <c r="AE58" s="39">
        <v>1.0</v>
      </c>
    </row>
    <row r="59">
      <c r="A59" s="39" t="s">
        <v>2077</v>
      </c>
      <c r="D59" s="39" t="s">
        <v>1978</v>
      </c>
      <c r="E59" s="39" t="s">
        <v>1684</v>
      </c>
      <c r="F59" s="39" t="s">
        <v>397</v>
      </c>
      <c r="G59" s="39" t="s">
        <v>662</v>
      </c>
      <c r="I59" s="40">
        <v>56.641999999999996</v>
      </c>
      <c r="L59" s="39" t="s">
        <v>102</v>
      </c>
      <c r="N59" s="39" t="s">
        <v>119</v>
      </c>
      <c r="O59" s="39" t="s">
        <v>67</v>
      </c>
      <c r="Q59" s="39">
        <v>0.0</v>
      </c>
      <c r="R59" s="39">
        <v>1.0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300.0</v>
      </c>
      <c r="AE59" s="39">
        <v>1.0</v>
      </c>
    </row>
    <row r="60">
      <c r="A60" s="39" t="s">
        <v>2078</v>
      </c>
      <c r="D60" s="39" t="s">
        <v>1978</v>
      </c>
      <c r="E60" s="39" t="s">
        <v>1684</v>
      </c>
      <c r="F60" s="39" t="s">
        <v>397</v>
      </c>
      <c r="G60" s="39" t="s">
        <v>2079</v>
      </c>
      <c r="H60" s="39" t="s">
        <v>2079</v>
      </c>
      <c r="I60" s="40">
        <v>55.495</v>
      </c>
      <c r="L60" s="39" t="s">
        <v>102</v>
      </c>
      <c r="N60" s="39" t="s">
        <v>119</v>
      </c>
      <c r="O60" s="39" t="s">
        <v>68</v>
      </c>
      <c r="Q60" s="39">
        <v>0.0</v>
      </c>
      <c r="R60" s="39">
        <v>1.0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500.0</v>
      </c>
      <c r="AE60" s="39">
        <v>1.0</v>
      </c>
    </row>
    <row r="61">
      <c r="A61" s="39" t="s">
        <v>2080</v>
      </c>
      <c r="B61" s="39" t="s">
        <v>360</v>
      </c>
      <c r="C61" s="39" t="s">
        <v>361</v>
      </c>
      <c r="D61" s="39" t="s">
        <v>1978</v>
      </c>
      <c r="E61" s="39" t="s">
        <v>1684</v>
      </c>
      <c r="F61" s="39" t="s">
        <v>397</v>
      </c>
      <c r="G61" s="39" t="s">
        <v>2081</v>
      </c>
      <c r="H61" s="39" t="s">
        <v>2081</v>
      </c>
      <c r="I61" s="40">
        <v>54.754999999999995</v>
      </c>
      <c r="L61" s="39" t="s">
        <v>1685</v>
      </c>
      <c r="N61" s="39" t="s">
        <v>67</v>
      </c>
      <c r="O61" s="39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1.0</v>
      </c>
      <c r="W61" s="39">
        <v>0.0</v>
      </c>
      <c r="X61" s="39">
        <v>1.0</v>
      </c>
      <c r="Y61" s="39">
        <v>0.0</v>
      </c>
      <c r="Z61" s="30" t="s">
        <v>2082</v>
      </c>
      <c r="AA61" s="30" t="s">
        <v>115</v>
      </c>
      <c r="AC61" s="39">
        <v>600.0</v>
      </c>
      <c r="AE61" s="39">
        <v>1.0</v>
      </c>
    </row>
    <row r="62">
      <c r="A62" s="39" t="s">
        <v>2083</v>
      </c>
      <c r="B62" s="39" t="s">
        <v>360</v>
      </c>
      <c r="C62" s="39" t="s">
        <v>361</v>
      </c>
      <c r="D62" s="39" t="s">
        <v>1978</v>
      </c>
      <c r="E62" s="39" t="s">
        <v>1684</v>
      </c>
      <c r="F62" s="39" t="s">
        <v>397</v>
      </c>
      <c r="G62" s="39" t="s">
        <v>2084</v>
      </c>
      <c r="H62" s="39" t="s">
        <v>2084</v>
      </c>
      <c r="I62" s="40">
        <v>53.765</v>
      </c>
      <c r="L62" s="39" t="s">
        <v>1685</v>
      </c>
      <c r="N62" s="39" t="s">
        <v>67</v>
      </c>
      <c r="O62" s="39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1.0</v>
      </c>
      <c r="W62" s="39">
        <v>1.0</v>
      </c>
      <c r="X62" s="39">
        <v>2.0</v>
      </c>
      <c r="Y62" s="39">
        <v>2.0</v>
      </c>
      <c r="Z62" s="30" t="s">
        <v>2085</v>
      </c>
      <c r="AA62" s="30" t="s">
        <v>2086</v>
      </c>
      <c r="AC62" s="39">
        <v>650.0</v>
      </c>
      <c r="AE62" s="39">
        <v>1.0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374</v>
      </c>
      <c r="B2" s="39" t="s">
        <v>360</v>
      </c>
      <c r="C2" s="39" t="s">
        <v>361</v>
      </c>
      <c r="D2" s="39" t="s">
        <v>2087</v>
      </c>
      <c r="E2" s="39" t="s">
        <v>5</v>
      </c>
      <c r="F2" s="39" t="s">
        <v>64</v>
      </c>
      <c r="G2" s="39" t="s">
        <v>72</v>
      </c>
      <c r="I2" s="70">
        <v>53.21</v>
      </c>
      <c r="L2" s="39" t="s">
        <v>1685</v>
      </c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1.0</v>
      </c>
      <c r="W2" s="39">
        <v>0.0</v>
      </c>
      <c r="X2" s="39">
        <v>1.0</v>
      </c>
      <c r="Y2" s="39">
        <v>0.0</v>
      </c>
      <c r="Z2" s="39" t="s">
        <v>2088</v>
      </c>
      <c r="AA2" s="30" t="s">
        <v>115</v>
      </c>
      <c r="AC2" s="39">
        <v>250.0</v>
      </c>
      <c r="AE2" s="39">
        <v>1.0</v>
      </c>
    </row>
    <row r="3">
      <c r="A3" s="39" t="s">
        <v>2089</v>
      </c>
      <c r="B3" s="39" t="s">
        <v>360</v>
      </c>
      <c r="C3" s="39" t="s">
        <v>361</v>
      </c>
      <c r="D3" s="39" t="s">
        <v>2087</v>
      </c>
      <c r="E3" s="39" t="s">
        <v>5</v>
      </c>
      <c r="F3" s="39" t="s">
        <v>64</v>
      </c>
      <c r="G3" s="39" t="s">
        <v>2090</v>
      </c>
      <c r="H3" s="39" t="s">
        <v>2090</v>
      </c>
      <c r="I3" s="70">
        <v>54.085</v>
      </c>
      <c r="L3" s="2" t="s">
        <v>66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300.0</v>
      </c>
      <c r="AE3" s="39">
        <v>1.0</v>
      </c>
    </row>
    <row r="4">
      <c r="A4" s="39" t="s">
        <v>2091</v>
      </c>
      <c r="D4" s="39" t="s">
        <v>2087</v>
      </c>
      <c r="E4" s="39" t="s">
        <v>5</v>
      </c>
      <c r="F4" s="39" t="s">
        <v>64</v>
      </c>
      <c r="G4" s="39" t="s">
        <v>2092</v>
      </c>
      <c r="H4" s="39" t="s">
        <v>2092</v>
      </c>
      <c r="I4" s="70">
        <v>54.895</v>
      </c>
      <c r="L4" s="39" t="s">
        <v>102</v>
      </c>
      <c r="N4" s="39" t="s">
        <v>67</v>
      </c>
      <c r="O4" s="39" t="s">
        <v>81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300.0</v>
      </c>
      <c r="AE4" s="39">
        <v>1.0</v>
      </c>
    </row>
    <row r="5">
      <c r="A5" s="39" t="s">
        <v>2093</v>
      </c>
      <c r="D5" s="39" t="s">
        <v>2087</v>
      </c>
      <c r="E5" s="39" t="s">
        <v>5</v>
      </c>
      <c r="F5" s="39" t="s">
        <v>64</v>
      </c>
      <c r="G5" s="39" t="s">
        <v>2094</v>
      </c>
      <c r="H5" s="39" t="s">
        <v>2094</v>
      </c>
      <c r="I5" s="70">
        <v>55.71</v>
      </c>
      <c r="L5" s="39" t="s">
        <v>102</v>
      </c>
      <c r="N5" s="39" t="s">
        <v>119</v>
      </c>
      <c r="O5" s="39" t="s">
        <v>67</v>
      </c>
      <c r="Q5" s="39">
        <v>0.0</v>
      </c>
      <c r="R5" s="39">
        <v>1.0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300.0</v>
      </c>
      <c r="AE5" s="39">
        <v>1.0</v>
      </c>
    </row>
    <row r="6">
      <c r="A6" s="39" t="s">
        <v>2095</v>
      </c>
      <c r="D6" s="39" t="s">
        <v>2087</v>
      </c>
      <c r="E6" s="39" t="s">
        <v>5</v>
      </c>
      <c r="F6" s="39" t="s">
        <v>64</v>
      </c>
      <c r="G6" s="39" t="s">
        <v>2096</v>
      </c>
      <c r="H6" s="39" t="s">
        <v>2096</v>
      </c>
      <c r="I6" s="70">
        <v>56.339</v>
      </c>
      <c r="L6" s="39" t="s">
        <v>102</v>
      </c>
      <c r="N6" s="39" t="s">
        <v>67</v>
      </c>
      <c r="O6" s="39" t="s">
        <v>67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300.0</v>
      </c>
      <c r="AE6" s="39">
        <v>1.0</v>
      </c>
    </row>
    <row r="7">
      <c r="A7" s="39" t="s">
        <v>2097</v>
      </c>
      <c r="D7" s="39" t="s">
        <v>2087</v>
      </c>
      <c r="E7" s="39" t="s">
        <v>5</v>
      </c>
      <c r="F7" s="39" t="s">
        <v>64</v>
      </c>
      <c r="G7" s="39" t="s">
        <v>2098</v>
      </c>
      <c r="H7" s="39" t="s">
        <v>2098</v>
      </c>
      <c r="I7" s="70">
        <v>57.07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300.0</v>
      </c>
      <c r="AE7" s="39">
        <v>1.0</v>
      </c>
    </row>
    <row r="8">
      <c r="A8" s="39" t="s">
        <v>2099</v>
      </c>
      <c r="D8" s="39" t="s">
        <v>2087</v>
      </c>
      <c r="E8" s="39" t="s">
        <v>5</v>
      </c>
      <c r="F8" s="39" t="s">
        <v>64</v>
      </c>
      <c r="G8" s="39" t="s">
        <v>2100</v>
      </c>
      <c r="H8" s="39" t="s">
        <v>2100</v>
      </c>
      <c r="I8" s="70">
        <v>57.739000000000004</v>
      </c>
      <c r="L8" s="39" t="s">
        <v>102</v>
      </c>
      <c r="N8" s="39" t="s">
        <v>67</v>
      </c>
      <c r="O8" s="39" t="s">
        <v>67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300.0</v>
      </c>
      <c r="AE8" s="39">
        <v>1.0</v>
      </c>
    </row>
    <row r="9">
      <c r="A9" s="39" t="s">
        <v>2101</v>
      </c>
      <c r="D9" s="39" t="s">
        <v>2087</v>
      </c>
      <c r="E9" s="39" t="s">
        <v>5</v>
      </c>
      <c r="F9" s="39" t="s">
        <v>64</v>
      </c>
      <c r="G9" s="39" t="s">
        <v>2102</v>
      </c>
      <c r="H9" s="39" t="s">
        <v>2102</v>
      </c>
      <c r="I9" s="70">
        <v>58.182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300.0</v>
      </c>
      <c r="AE9" s="39">
        <v>1.0</v>
      </c>
    </row>
    <row r="10">
      <c r="A10" s="39" t="s">
        <v>2103</v>
      </c>
      <c r="D10" s="39" t="s">
        <v>2087</v>
      </c>
      <c r="E10" s="39" t="s">
        <v>5</v>
      </c>
      <c r="F10" s="39" t="s">
        <v>64</v>
      </c>
      <c r="G10" s="39" t="s">
        <v>2104</v>
      </c>
      <c r="H10" s="39" t="s">
        <v>2104</v>
      </c>
      <c r="I10" s="70">
        <v>58.801</v>
      </c>
      <c r="L10" s="39" t="s">
        <v>102</v>
      </c>
      <c r="N10" s="39" t="s">
        <v>67</v>
      </c>
      <c r="O10" s="39" t="s">
        <v>67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300.0</v>
      </c>
      <c r="AE10" s="39">
        <v>1.0</v>
      </c>
    </row>
    <row r="11">
      <c r="A11" s="39" t="s">
        <v>2105</v>
      </c>
      <c r="D11" s="39" t="s">
        <v>2087</v>
      </c>
      <c r="E11" s="39" t="s">
        <v>5</v>
      </c>
      <c r="F11" s="39" t="s">
        <v>64</v>
      </c>
      <c r="G11" s="39" t="s">
        <v>2106</v>
      </c>
      <c r="H11" s="39" t="s">
        <v>2106</v>
      </c>
      <c r="I11" s="70">
        <v>59.375</v>
      </c>
      <c r="L11" s="39" t="s">
        <v>1716</v>
      </c>
      <c r="N11" s="39" t="s">
        <v>67</v>
      </c>
      <c r="O11" s="39" t="s">
        <v>81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250.0</v>
      </c>
      <c r="AE11" s="39">
        <v>1.0</v>
      </c>
    </row>
    <row r="12">
      <c r="A12" s="39" t="s">
        <v>2107</v>
      </c>
      <c r="D12" s="39" t="s">
        <v>2087</v>
      </c>
      <c r="E12" s="39" t="s">
        <v>5</v>
      </c>
      <c r="F12" s="39" t="s">
        <v>64</v>
      </c>
      <c r="G12" s="39" t="s">
        <v>2108</v>
      </c>
      <c r="H12" s="39" t="s">
        <v>2108</v>
      </c>
      <c r="I12" s="70">
        <v>60.132</v>
      </c>
      <c r="L12" s="39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330.0</v>
      </c>
      <c r="AE12" s="39">
        <v>1.0</v>
      </c>
    </row>
    <row r="13">
      <c r="A13" s="39" t="s">
        <v>2109</v>
      </c>
      <c r="D13" s="39" t="s">
        <v>2087</v>
      </c>
      <c r="E13" s="39" t="s">
        <v>5</v>
      </c>
      <c r="F13" s="39" t="s">
        <v>64</v>
      </c>
      <c r="G13" s="39" t="s">
        <v>2110</v>
      </c>
      <c r="H13" s="39" t="s">
        <v>2110</v>
      </c>
      <c r="I13" s="70">
        <v>60.908</v>
      </c>
      <c r="L13" s="39" t="s">
        <v>102</v>
      </c>
      <c r="N13" s="39" t="s">
        <v>67</v>
      </c>
      <c r="O13" s="39" t="s">
        <v>67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270.0</v>
      </c>
      <c r="AE13" s="39">
        <v>1.0</v>
      </c>
    </row>
    <row r="14">
      <c r="A14" s="39" t="s">
        <v>2111</v>
      </c>
      <c r="D14" s="39" t="s">
        <v>2087</v>
      </c>
      <c r="E14" s="39" t="s">
        <v>5</v>
      </c>
      <c r="F14" s="39" t="s">
        <v>64</v>
      </c>
      <c r="G14" s="39" t="s">
        <v>2112</v>
      </c>
      <c r="H14" s="39" t="s">
        <v>2112</v>
      </c>
      <c r="I14" s="70">
        <v>61.636</v>
      </c>
      <c r="L14" s="39" t="s">
        <v>102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280.0</v>
      </c>
      <c r="AE14" s="39">
        <v>1.0</v>
      </c>
    </row>
    <row r="15">
      <c r="A15" s="39" t="s">
        <v>2113</v>
      </c>
      <c r="B15" s="39" t="s">
        <v>2114</v>
      </c>
      <c r="C15" s="39" t="s">
        <v>2115</v>
      </c>
      <c r="D15" s="39" t="s">
        <v>2087</v>
      </c>
      <c r="E15" s="39" t="s">
        <v>5</v>
      </c>
      <c r="F15" s="39" t="s">
        <v>64</v>
      </c>
      <c r="G15" s="39" t="s">
        <v>2116</v>
      </c>
      <c r="H15" s="39" t="s">
        <v>2116</v>
      </c>
      <c r="I15" s="70">
        <v>62.356</v>
      </c>
      <c r="L15" s="39" t="s">
        <v>66</v>
      </c>
      <c r="N15" s="39" t="s">
        <v>67</v>
      </c>
      <c r="O15" s="39" t="s">
        <v>81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1.0</v>
      </c>
      <c r="W15" s="39">
        <v>0.0</v>
      </c>
      <c r="X15" s="39">
        <v>1.0</v>
      </c>
      <c r="Y15" s="39">
        <v>0.0</v>
      </c>
      <c r="Z15" s="39" t="s">
        <v>2117</v>
      </c>
      <c r="AA15" s="30" t="s">
        <v>115</v>
      </c>
      <c r="AC15" s="39">
        <v>320.0</v>
      </c>
      <c r="AE15" s="39">
        <v>1.0</v>
      </c>
    </row>
    <row r="16">
      <c r="A16" s="39" t="s">
        <v>2118</v>
      </c>
      <c r="B16" s="39" t="s">
        <v>2114</v>
      </c>
      <c r="C16" s="39" t="s">
        <v>2115</v>
      </c>
      <c r="D16" s="39" t="s">
        <v>2087</v>
      </c>
      <c r="E16" s="39" t="s">
        <v>5</v>
      </c>
      <c r="F16" s="39" t="s">
        <v>64</v>
      </c>
      <c r="G16" s="39" t="s">
        <v>2119</v>
      </c>
      <c r="H16" s="39" t="s">
        <v>2119</v>
      </c>
      <c r="I16" s="70">
        <v>63.686</v>
      </c>
      <c r="L16" s="39" t="s">
        <v>66</v>
      </c>
      <c r="N16" s="39" t="s">
        <v>119</v>
      </c>
      <c r="O16" s="39" t="s">
        <v>67</v>
      </c>
      <c r="Q16" s="39">
        <v>0.0</v>
      </c>
      <c r="R16" s="39">
        <v>1.0</v>
      </c>
      <c r="S16" s="39">
        <v>0.0</v>
      </c>
      <c r="T16" s="39">
        <v>0.0</v>
      </c>
      <c r="U16" s="39">
        <v>0.0</v>
      </c>
      <c r="V16" s="39">
        <v>1.0</v>
      </c>
      <c r="W16" s="39">
        <v>0.0</v>
      </c>
      <c r="X16" s="39">
        <v>0.0</v>
      </c>
      <c r="Y16" s="39">
        <v>1.0</v>
      </c>
      <c r="Z16" s="39" t="s">
        <v>2120</v>
      </c>
      <c r="AA16" s="30" t="s">
        <v>97</v>
      </c>
      <c r="AC16" s="39">
        <v>350.0</v>
      </c>
      <c r="AE16" s="39">
        <v>1.0</v>
      </c>
    </row>
    <row r="17">
      <c r="A17" s="39" t="s">
        <v>2121</v>
      </c>
      <c r="B17" s="39" t="s">
        <v>2114</v>
      </c>
      <c r="C17" s="39" t="s">
        <v>2115</v>
      </c>
      <c r="D17" s="39" t="s">
        <v>2087</v>
      </c>
      <c r="E17" s="39" t="s">
        <v>5</v>
      </c>
      <c r="F17" s="39" t="s">
        <v>64</v>
      </c>
      <c r="G17" s="39" t="s">
        <v>657</v>
      </c>
      <c r="H17" s="39" t="s">
        <v>657</v>
      </c>
      <c r="I17" s="70">
        <v>64.113</v>
      </c>
      <c r="L17" s="39" t="s">
        <v>66</v>
      </c>
      <c r="N17" s="39" t="s">
        <v>67</v>
      </c>
      <c r="O17" s="39" t="s">
        <v>81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1.0</v>
      </c>
      <c r="W17" s="39">
        <v>0.0</v>
      </c>
      <c r="X17" s="39">
        <v>0.0</v>
      </c>
      <c r="Y17" s="39">
        <v>0.0</v>
      </c>
      <c r="AC17" s="39">
        <v>210.0</v>
      </c>
      <c r="AE17" s="39">
        <v>1.0</v>
      </c>
    </row>
    <row r="18">
      <c r="A18" s="39" t="s">
        <v>2122</v>
      </c>
      <c r="B18" s="39" t="s">
        <v>2114</v>
      </c>
      <c r="C18" s="39" t="s">
        <v>2115</v>
      </c>
      <c r="D18" s="39" t="s">
        <v>2087</v>
      </c>
      <c r="E18" s="39" t="s">
        <v>5</v>
      </c>
      <c r="F18" s="39" t="s">
        <v>64</v>
      </c>
      <c r="G18" s="39" t="s">
        <v>2123</v>
      </c>
      <c r="H18" s="39" t="s">
        <v>2123</v>
      </c>
      <c r="I18" s="70">
        <v>64.494</v>
      </c>
      <c r="L18" s="39" t="s">
        <v>66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250.0</v>
      </c>
      <c r="AE18" s="39">
        <v>1.0</v>
      </c>
    </row>
    <row r="19">
      <c r="A19" s="39" t="s">
        <v>2124</v>
      </c>
      <c r="D19" s="39" t="s">
        <v>2087</v>
      </c>
      <c r="E19" s="39" t="s">
        <v>5</v>
      </c>
      <c r="F19" s="39" t="s">
        <v>64</v>
      </c>
      <c r="G19" s="39" t="s">
        <v>2125</v>
      </c>
      <c r="H19" s="39" t="s">
        <v>2125</v>
      </c>
      <c r="I19" s="70">
        <v>65.045</v>
      </c>
      <c r="L19" s="39" t="s">
        <v>2126</v>
      </c>
      <c r="M19" s="39" t="s">
        <v>2126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540.0</v>
      </c>
      <c r="AE19" s="39">
        <v>1.0</v>
      </c>
    </row>
    <row r="20">
      <c r="A20" s="39" t="s">
        <v>2127</v>
      </c>
      <c r="D20" s="39" t="s">
        <v>2087</v>
      </c>
      <c r="E20" s="39" t="s">
        <v>5</v>
      </c>
      <c r="F20" s="39" t="s">
        <v>64</v>
      </c>
      <c r="G20" s="39" t="s">
        <v>2128</v>
      </c>
      <c r="H20" s="39" t="s">
        <v>2128</v>
      </c>
      <c r="I20" s="70">
        <v>66.055</v>
      </c>
      <c r="L20" s="39" t="s">
        <v>1716</v>
      </c>
      <c r="N20" s="39" t="s">
        <v>67</v>
      </c>
      <c r="O20" s="39" t="s">
        <v>67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320.0</v>
      </c>
      <c r="AE20" s="39">
        <v>1.0</v>
      </c>
    </row>
    <row r="21">
      <c r="A21" s="39" t="s">
        <v>2129</v>
      </c>
      <c r="D21" s="39" t="s">
        <v>2087</v>
      </c>
      <c r="E21" s="39" t="s">
        <v>5</v>
      </c>
      <c r="F21" s="39" t="s">
        <v>64</v>
      </c>
      <c r="G21" s="39" t="s">
        <v>2130</v>
      </c>
      <c r="H21" s="39" t="s">
        <v>2130</v>
      </c>
      <c r="I21" s="70">
        <v>66.739</v>
      </c>
      <c r="L21" s="39" t="s">
        <v>2126</v>
      </c>
      <c r="N21" s="39" t="s">
        <v>67</v>
      </c>
      <c r="O21" s="39" t="s">
        <v>67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450.0</v>
      </c>
      <c r="AE21" s="39">
        <v>1.0</v>
      </c>
    </row>
    <row r="22">
      <c r="A22" s="39" t="s">
        <v>2131</v>
      </c>
      <c r="D22" s="39" t="s">
        <v>2087</v>
      </c>
      <c r="E22" s="39" t="s">
        <v>5</v>
      </c>
      <c r="F22" s="39" t="s">
        <v>64</v>
      </c>
      <c r="G22" s="39" t="s">
        <v>2132</v>
      </c>
      <c r="H22" s="39" t="s">
        <v>2132</v>
      </c>
      <c r="I22" s="70">
        <v>67.889</v>
      </c>
      <c r="L22" s="39" t="s">
        <v>2133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450.0</v>
      </c>
      <c r="AE22" s="39">
        <v>1.0</v>
      </c>
    </row>
    <row r="23">
      <c r="A23" s="39" t="s">
        <v>2134</v>
      </c>
      <c r="D23" s="39" t="s">
        <v>2087</v>
      </c>
      <c r="E23" s="39" t="s">
        <v>5</v>
      </c>
      <c r="F23" s="39" t="s">
        <v>64</v>
      </c>
      <c r="G23" s="39" t="s">
        <v>2135</v>
      </c>
      <c r="H23" s="39" t="s">
        <v>2135</v>
      </c>
      <c r="I23" s="70">
        <v>69.439</v>
      </c>
      <c r="L23" s="39" t="s">
        <v>1716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600.0</v>
      </c>
      <c r="AE23" s="39">
        <v>1.0</v>
      </c>
    </row>
    <row r="24">
      <c r="A24" s="39" t="s">
        <v>2136</v>
      </c>
      <c r="B24" s="39" t="s">
        <v>2137</v>
      </c>
      <c r="C24" s="39" t="s">
        <v>2138</v>
      </c>
      <c r="D24" s="39" t="s">
        <v>2087</v>
      </c>
      <c r="E24" s="39" t="s">
        <v>5</v>
      </c>
      <c r="F24" s="39" t="s">
        <v>64</v>
      </c>
      <c r="G24" s="39" t="s">
        <v>2139</v>
      </c>
      <c r="H24" s="39" t="s">
        <v>2139</v>
      </c>
      <c r="I24" s="70">
        <v>70.799</v>
      </c>
      <c r="L24" s="39" t="s">
        <v>2140</v>
      </c>
      <c r="N24" s="39" t="s">
        <v>67</v>
      </c>
      <c r="O24" s="39" t="s">
        <v>81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1.0</v>
      </c>
      <c r="W24" s="39">
        <v>0.0</v>
      </c>
      <c r="X24" s="39">
        <v>1.0</v>
      </c>
      <c r="Y24" s="39">
        <v>0.0</v>
      </c>
      <c r="Z24" s="39" t="s">
        <v>2117</v>
      </c>
      <c r="AA24" s="30" t="s">
        <v>115</v>
      </c>
      <c r="AC24" s="39">
        <v>350.0</v>
      </c>
      <c r="AE24" s="39">
        <v>1.0</v>
      </c>
    </row>
    <row r="25">
      <c r="A25" s="39" t="s">
        <v>2141</v>
      </c>
      <c r="B25" s="39" t="s">
        <v>2137</v>
      </c>
      <c r="C25" s="39" t="s">
        <v>2138</v>
      </c>
      <c r="D25" s="39" t="s">
        <v>2087</v>
      </c>
      <c r="E25" s="39" t="s">
        <v>5</v>
      </c>
      <c r="F25" s="39" t="s">
        <v>64</v>
      </c>
      <c r="G25" s="39" t="s">
        <v>2142</v>
      </c>
      <c r="H25" s="39" t="s">
        <v>2142</v>
      </c>
      <c r="I25" s="70">
        <v>72.129</v>
      </c>
      <c r="L25" s="39" t="s">
        <v>2143</v>
      </c>
      <c r="N25" s="39" t="s">
        <v>178</v>
      </c>
      <c r="O25" s="39" t="s">
        <v>67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300.0</v>
      </c>
      <c r="AE25" s="39">
        <v>1.0</v>
      </c>
    </row>
    <row r="26">
      <c r="A26" s="39" t="s">
        <v>2144</v>
      </c>
      <c r="B26" s="39" t="s">
        <v>2137</v>
      </c>
      <c r="C26" s="39" t="s">
        <v>2138</v>
      </c>
      <c r="D26" s="39" t="s">
        <v>2087</v>
      </c>
      <c r="E26" s="39" t="s">
        <v>5</v>
      </c>
      <c r="F26" s="39" t="s">
        <v>64</v>
      </c>
      <c r="G26" s="39" t="s">
        <v>2145</v>
      </c>
      <c r="H26" s="39" t="s">
        <v>2145</v>
      </c>
      <c r="I26" s="70">
        <v>72.589</v>
      </c>
      <c r="L26" s="39" t="s">
        <v>2146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300.0</v>
      </c>
      <c r="AE26" s="39">
        <v>1.0</v>
      </c>
    </row>
    <row r="27">
      <c r="A27" s="39" t="s">
        <v>2147</v>
      </c>
      <c r="D27" s="39" t="s">
        <v>2087</v>
      </c>
      <c r="E27" s="39" t="s">
        <v>5</v>
      </c>
      <c r="F27" s="39" t="s">
        <v>64</v>
      </c>
      <c r="G27" s="39" t="s">
        <v>2148</v>
      </c>
      <c r="H27" s="39" t="s">
        <v>2148</v>
      </c>
      <c r="I27" s="70">
        <v>74.459</v>
      </c>
      <c r="L27" s="39" t="s">
        <v>2149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480.0</v>
      </c>
      <c r="AE27" s="39">
        <v>1.0</v>
      </c>
    </row>
    <row r="28">
      <c r="A28" s="39" t="s">
        <v>2150</v>
      </c>
      <c r="D28" s="39" t="s">
        <v>2087</v>
      </c>
      <c r="E28" s="39" t="s">
        <v>5</v>
      </c>
      <c r="F28" s="39" t="s">
        <v>64</v>
      </c>
      <c r="G28" s="39" t="s">
        <v>2151</v>
      </c>
      <c r="H28" s="39" t="s">
        <v>2151</v>
      </c>
      <c r="I28" s="70">
        <v>75.499</v>
      </c>
      <c r="L28" s="39" t="s">
        <v>2133</v>
      </c>
      <c r="N28" s="39" t="s">
        <v>67</v>
      </c>
      <c r="O28" s="39" t="s">
        <v>81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350.0</v>
      </c>
      <c r="AE28" s="39">
        <v>1.0</v>
      </c>
    </row>
    <row r="29">
      <c r="A29" s="39" t="s">
        <v>2152</v>
      </c>
      <c r="B29" s="39" t="s">
        <v>2153</v>
      </c>
      <c r="C29" s="39" t="s">
        <v>2154</v>
      </c>
      <c r="D29" s="39" t="s">
        <v>2087</v>
      </c>
      <c r="E29" s="39" t="s">
        <v>5</v>
      </c>
      <c r="F29" s="39" t="s">
        <v>64</v>
      </c>
      <c r="G29" s="39" t="s">
        <v>2155</v>
      </c>
      <c r="H29" s="39" t="s">
        <v>2155</v>
      </c>
      <c r="I29" s="70">
        <v>76.899</v>
      </c>
      <c r="L29" s="39" t="s">
        <v>2126</v>
      </c>
      <c r="N29" s="39" t="s">
        <v>67</v>
      </c>
      <c r="O29" s="39" t="s">
        <v>67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500.0</v>
      </c>
      <c r="AE29" s="39">
        <v>1.0</v>
      </c>
    </row>
    <row r="30">
      <c r="A30" s="39" t="s">
        <v>2156</v>
      </c>
      <c r="B30" s="39" t="s">
        <v>2153</v>
      </c>
      <c r="C30" s="39" t="s">
        <v>2154</v>
      </c>
      <c r="D30" s="39" t="s">
        <v>2087</v>
      </c>
      <c r="E30" s="39" t="s">
        <v>5</v>
      </c>
      <c r="F30" s="39" t="s">
        <v>64</v>
      </c>
      <c r="G30" s="39" t="s">
        <v>2157</v>
      </c>
      <c r="H30" s="39" t="s">
        <v>2157</v>
      </c>
      <c r="I30" s="70">
        <v>78.249</v>
      </c>
      <c r="L30" s="39" t="s">
        <v>2140</v>
      </c>
      <c r="N30" s="39" t="s">
        <v>67</v>
      </c>
      <c r="O30" s="39" t="s">
        <v>81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1.0</v>
      </c>
      <c r="W30" s="39">
        <v>0.0</v>
      </c>
      <c r="X30" s="39">
        <v>2.0</v>
      </c>
      <c r="Y30" s="39">
        <v>0.0</v>
      </c>
      <c r="Z30" s="39" t="s">
        <v>2158</v>
      </c>
      <c r="AA30" s="30" t="s">
        <v>78</v>
      </c>
      <c r="AC30" s="39">
        <v>310.0</v>
      </c>
      <c r="AE30" s="39">
        <v>1.0</v>
      </c>
    </row>
    <row r="31">
      <c r="A31" s="39" t="s">
        <v>2159</v>
      </c>
      <c r="B31" s="39" t="s">
        <v>2153</v>
      </c>
      <c r="C31" s="39" t="s">
        <v>2154</v>
      </c>
      <c r="D31" s="39" t="s">
        <v>2087</v>
      </c>
      <c r="E31" s="39" t="s">
        <v>5</v>
      </c>
      <c r="F31" s="39" t="s">
        <v>64</v>
      </c>
      <c r="G31" s="39" t="s">
        <v>2160</v>
      </c>
      <c r="H31" s="39" t="s">
        <v>2160</v>
      </c>
      <c r="I31" s="70">
        <v>79.459</v>
      </c>
      <c r="L31" s="39" t="s">
        <v>2143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450.0</v>
      </c>
      <c r="AE31" s="39">
        <v>1.0</v>
      </c>
    </row>
    <row r="32">
      <c r="A32" s="39" t="s">
        <v>2161</v>
      </c>
      <c r="B32" s="39" t="s">
        <v>2153</v>
      </c>
      <c r="C32" s="39" t="s">
        <v>2154</v>
      </c>
      <c r="D32" s="39" t="s">
        <v>2087</v>
      </c>
      <c r="E32" s="39" t="s">
        <v>5</v>
      </c>
      <c r="F32" s="39" t="s">
        <v>64</v>
      </c>
      <c r="G32" s="39" t="s">
        <v>2162</v>
      </c>
      <c r="H32" s="39" t="s">
        <v>2162</v>
      </c>
      <c r="I32" s="70">
        <v>79.856</v>
      </c>
      <c r="L32" s="39" t="s">
        <v>2146</v>
      </c>
      <c r="N32" s="39" t="s">
        <v>67</v>
      </c>
      <c r="O32" s="39" t="s">
        <v>81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C32" s="39">
        <v>350.0</v>
      </c>
      <c r="AE32" s="39">
        <v>1.0</v>
      </c>
    </row>
    <row r="33">
      <c r="A33" s="39" t="s">
        <v>2163</v>
      </c>
      <c r="D33" s="39" t="s">
        <v>2087</v>
      </c>
      <c r="E33" s="39" t="s">
        <v>5</v>
      </c>
      <c r="F33" s="39" t="s">
        <v>64</v>
      </c>
      <c r="G33" s="39" t="s">
        <v>2164</v>
      </c>
      <c r="H33" s="39" t="s">
        <v>2164</v>
      </c>
      <c r="I33" s="70">
        <v>80.309</v>
      </c>
      <c r="L33" s="39" t="s">
        <v>1716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400.0</v>
      </c>
      <c r="AE33" s="39">
        <v>1.0</v>
      </c>
    </row>
    <row r="34">
      <c r="A34" s="39" t="s">
        <v>2165</v>
      </c>
      <c r="D34" s="39" t="s">
        <v>2087</v>
      </c>
      <c r="E34" s="39" t="s">
        <v>5</v>
      </c>
      <c r="F34" s="39" t="s">
        <v>64</v>
      </c>
      <c r="G34" s="39" t="s">
        <v>2166</v>
      </c>
      <c r="H34" s="39" t="s">
        <v>2166</v>
      </c>
      <c r="I34" s="70">
        <v>81.819</v>
      </c>
      <c r="L34" s="39" t="s">
        <v>2133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600.0</v>
      </c>
      <c r="AE34" s="39">
        <v>1.0</v>
      </c>
    </row>
    <row r="35">
      <c r="A35" s="39" t="s">
        <v>2167</v>
      </c>
      <c r="B35" s="39" t="s">
        <v>2168</v>
      </c>
      <c r="C35" s="39" t="s">
        <v>2169</v>
      </c>
      <c r="D35" s="39" t="s">
        <v>2087</v>
      </c>
      <c r="E35" s="39" t="s">
        <v>5</v>
      </c>
      <c r="F35" s="39" t="s">
        <v>64</v>
      </c>
      <c r="G35" s="39" t="s">
        <v>2170</v>
      </c>
      <c r="H35" s="39" t="s">
        <v>2170</v>
      </c>
      <c r="I35" s="70">
        <v>83.279</v>
      </c>
      <c r="L35" s="39" t="s">
        <v>2126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600.0</v>
      </c>
      <c r="AE35" s="39">
        <v>1.0</v>
      </c>
    </row>
    <row r="36">
      <c r="A36" s="39" t="s">
        <v>2171</v>
      </c>
      <c r="B36" s="39" t="s">
        <v>2168</v>
      </c>
      <c r="C36" s="39" t="s">
        <v>2169</v>
      </c>
      <c r="D36" s="39" t="s">
        <v>2087</v>
      </c>
      <c r="E36" s="39" t="s">
        <v>5</v>
      </c>
      <c r="F36" s="39" t="s">
        <v>64</v>
      </c>
      <c r="G36" s="39" t="s">
        <v>2172</v>
      </c>
      <c r="H36" s="39" t="s">
        <v>2172</v>
      </c>
      <c r="I36" s="70">
        <v>84.299</v>
      </c>
      <c r="L36" s="39" t="s">
        <v>2140</v>
      </c>
      <c r="N36" s="39" t="s">
        <v>119</v>
      </c>
      <c r="O36" s="39" t="s">
        <v>67</v>
      </c>
      <c r="Q36" s="39">
        <v>0.0</v>
      </c>
      <c r="R36" s="39">
        <v>1.0</v>
      </c>
      <c r="S36" s="39">
        <v>0.0</v>
      </c>
      <c r="T36" s="39">
        <v>0.0</v>
      </c>
      <c r="U36" s="39">
        <v>0.0</v>
      </c>
      <c r="V36" s="39">
        <v>1.0</v>
      </c>
      <c r="W36" s="39">
        <v>0.0</v>
      </c>
      <c r="X36" s="39">
        <v>1.0</v>
      </c>
      <c r="Y36" s="39">
        <v>1.0</v>
      </c>
      <c r="Z36" s="39" t="s">
        <v>2173</v>
      </c>
      <c r="AA36" s="30" t="s">
        <v>70</v>
      </c>
      <c r="AC36" s="39">
        <v>300.0</v>
      </c>
      <c r="AE36" s="39">
        <v>1.0</v>
      </c>
    </row>
    <row r="37">
      <c r="A37" s="39" t="s">
        <v>2174</v>
      </c>
      <c r="B37" s="39" t="s">
        <v>2168</v>
      </c>
      <c r="C37" s="39" t="s">
        <v>2169</v>
      </c>
      <c r="D37" s="39" t="s">
        <v>2087</v>
      </c>
      <c r="E37" s="39" t="s">
        <v>5</v>
      </c>
      <c r="F37" s="39" t="s">
        <v>64</v>
      </c>
      <c r="G37" s="39" t="s">
        <v>2175</v>
      </c>
      <c r="H37" s="39" t="s">
        <v>2175</v>
      </c>
      <c r="I37" s="70">
        <v>85.479</v>
      </c>
      <c r="L37" s="39" t="s">
        <v>2143</v>
      </c>
      <c r="N37" s="39" t="s">
        <v>119</v>
      </c>
      <c r="O37" s="39" t="s">
        <v>67</v>
      </c>
      <c r="Q37" s="39">
        <v>0.0</v>
      </c>
      <c r="R37" s="39">
        <v>1.0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300.0</v>
      </c>
      <c r="AE37" s="39">
        <v>1.0</v>
      </c>
    </row>
    <row r="38">
      <c r="A38" s="39" t="s">
        <v>2176</v>
      </c>
      <c r="B38" s="39" t="s">
        <v>2168</v>
      </c>
      <c r="C38" s="39" t="s">
        <v>2169</v>
      </c>
      <c r="D38" s="39" t="s">
        <v>2087</v>
      </c>
      <c r="E38" s="39" t="s">
        <v>5</v>
      </c>
      <c r="F38" s="39" t="s">
        <v>64</v>
      </c>
      <c r="G38" s="39" t="s">
        <v>2177</v>
      </c>
      <c r="H38" s="39" t="s">
        <v>2177</v>
      </c>
      <c r="I38" s="70">
        <v>85.87299999999999</v>
      </c>
      <c r="L38" s="39" t="s">
        <v>2146</v>
      </c>
      <c r="N38" s="39" t="s">
        <v>67</v>
      </c>
      <c r="O38" s="39" t="s">
        <v>67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350.0</v>
      </c>
      <c r="AE38" s="39">
        <v>1.0</v>
      </c>
    </row>
    <row r="39">
      <c r="A39" s="39" t="s">
        <v>2147</v>
      </c>
      <c r="D39" s="39" t="s">
        <v>2087</v>
      </c>
      <c r="E39" s="39" t="s">
        <v>5</v>
      </c>
      <c r="F39" s="39" t="s">
        <v>64</v>
      </c>
      <c r="G39" s="39" t="s">
        <v>2178</v>
      </c>
      <c r="H39" s="39" t="s">
        <v>2178</v>
      </c>
      <c r="I39" s="70">
        <v>88.833</v>
      </c>
      <c r="L39" s="39" t="s">
        <v>2149</v>
      </c>
      <c r="N39" s="39" t="s">
        <v>67</v>
      </c>
      <c r="O39" s="39" t="s">
        <v>81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600.0</v>
      </c>
      <c r="AE39" s="39">
        <v>1.0</v>
      </c>
    </row>
    <row r="40">
      <c r="A40" s="39" t="s">
        <v>2150</v>
      </c>
      <c r="D40" s="39" t="s">
        <v>2087</v>
      </c>
      <c r="E40" s="39" t="s">
        <v>5</v>
      </c>
      <c r="F40" s="39" t="s">
        <v>64</v>
      </c>
      <c r="G40" s="39" t="s">
        <v>2179</v>
      </c>
      <c r="H40" s="39" t="s">
        <v>2179</v>
      </c>
      <c r="I40" s="70">
        <v>90.033</v>
      </c>
      <c r="L40" s="39" t="s">
        <v>2133</v>
      </c>
      <c r="N40" s="39" t="s">
        <v>67</v>
      </c>
      <c r="O40" s="39" t="s">
        <v>81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400.0</v>
      </c>
      <c r="AE40" s="39">
        <v>1.0</v>
      </c>
    </row>
    <row r="41">
      <c r="A41" s="39" t="s">
        <v>2124</v>
      </c>
      <c r="D41" s="39" t="s">
        <v>2087</v>
      </c>
      <c r="E41" s="39" t="s">
        <v>5</v>
      </c>
      <c r="F41" s="39" t="s">
        <v>64</v>
      </c>
      <c r="G41" s="39" t="s">
        <v>2180</v>
      </c>
      <c r="H41" s="39" t="s">
        <v>2180</v>
      </c>
      <c r="I41" s="70">
        <v>91.613</v>
      </c>
      <c r="L41" s="39" t="s">
        <v>2126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450.0</v>
      </c>
      <c r="AE41" s="39">
        <v>1.0</v>
      </c>
    </row>
    <row r="42">
      <c r="A42" s="39" t="s">
        <v>2181</v>
      </c>
      <c r="D42" s="39" t="s">
        <v>2087</v>
      </c>
      <c r="E42" s="39" t="s">
        <v>5</v>
      </c>
      <c r="F42" s="39" t="s">
        <v>64</v>
      </c>
      <c r="G42" s="39" t="s">
        <v>2182</v>
      </c>
      <c r="H42" s="39" t="s">
        <v>2182</v>
      </c>
      <c r="I42" s="70">
        <v>92.60900000000001</v>
      </c>
      <c r="L42" s="39" t="s">
        <v>1716</v>
      </c>
      <c r="N42" s="39" t="s">
        <v>119</v>
      </c>
      <c r="O42" s="39" t="s">
        <v>67</v>
      </c>
      <c r="Q42" s="39">
        <v>0.0</v>
      </c>
      <c r="R42" s="39">
        <v>1.0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300.0</v>
      </c>
      <c r="AE42" s="39">
        <v>1.0</v>
      </c>
    </row>
    <row r="43">
      <c r="A43" s="39" t="s">
        <v>2183</v>
      </c>
      <c r="B43" s="39" t="s">
        <v>2184</v>
      </c>
      <c r="C43" s="39" t="s">
        <v>2185</v>
      </c>
      <c r="D43" s="39" t="s">
        <v>2087</v>
      </c>
      <c r="E43" s="39" t="s">
        <v>5</v>
      </c>
      <c r="F43" s="39" t="s">
        <v>64</v>
      </c>
      <c r="G43" s="39" t="s">
        <v>2186</v>
      </c>
      <c r="H43" s="39" t="s">
        <v>2186</v>
      </c>
      <c r="I43" s="70">
        <v>94.089</v>
      </c>
      <c r="L43" s="39" t="s">
        <v>2140</v>
      </c>
      <c r="N43" s="39" t="s">
        <v>119</v>
      </c>
      <c r="O43" s="39" t="s">
        <v>67</v>
      </c>
      <c r="Q43" s="39">
        <v>0.0</v>
      </c>
      <c r="R43" s="39">
        <v>1.0</v>
      </c>
      <c r="S43" s="39">
        <v>0.0</v>
      </c>
      <c r="T43" s="39">
        <v>0.0</v>
      </c>
      <c r="U43" s="39">
        <v>0.0</v>
      </c>
      <c r="V43" s="39">
        <v>1.0</v>
      </c>
      <c r="W43" s="39">
        <v>0.0</v>
      </c>
      <c r="X43" s="39">
        <v>1.0</v>
      </c>
      <c r="Y43" s="39">
        <v>0.0</v>
      </c>
      <c r="Z43" s="39" t="s">
        <v>2117</v>
      </c>
      <c r="AA43" s="30" t="s">
        <v>115</v>
      </c>
      <c r="AC43" s="39">
        <v>200.0</v>
      </c>
      <c r="AE43" s="39">
        <v>1.0</v>
      </c>
    </row>
    <row r="44">
      <c r="A44" s="39" t="s">
        <v>2187</v>
      </c>
      <c r="B44" s="39" t="s">
        <v>2184</v>
      </c>
      <c r="C44" s="39" t="s">
        <v>2185</v>
      </c>
      <c r="D44" s="39" t="s">
        <v>2087</v>
      </c>
      <c r="E44" s="39" t="s">
        <v>5</v>
      </c>
      <c r="F44" s="39" t="s">
        <v>64</v>
      </c>
      <c r="G44" s="39" t="s">
        <v>2188</v>
      </c>
      <c r="H44" s="39" t="s">
        <v>2188</v>
      </c>
      <c r="I44" s="70">
        <v>95.219</v>
      </c>
      <c r="L44" s="39" t="s">
        <v>2143</v>
      </c>
      <c r="N44" s="39" t="s">
        <v>67</v>
      </c>
      <c r="O44" s="39" t="s">
        <v>81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300.0</v>
      </c>
      <c r="AE44" s="39">
        <v>1.0</v>
      </c>
    </row>
    <row r="45">
      <c r="A45" s="39" t="s">
        <v>2189</v>
      </c>
      <c r="B45" s="39" t="s">
        <v>2184</v>
      </c>
      <c r="C45" s="39" t="s">
        <v>2185</v>
      </c>
      <c r="D45" s="39" t="s">
        <v>2087</v>
      </c>
      <c r="E45" s="39" t="s">
        <v>5</v>
      </c>
      <c r="F45" s="39" t="s">
        <v>64</v>
      </c>
      <c r="G45" s="39" t="s">
        <v>2190</v>
      </c>
      <c r="H45" s="39" t="s">
        <v>2190</v>
      </c>
      <c r="I45" s="70">
        <v>95.62299999999999</v>
      </c>
      <c r="L45" s="39" t="s">
        <v>2146</v>
      </c>
      <c r="N45" s="39" t="s">
        <v>67</v>
      </c>
      <c r="O45" s="39" t="s">
        <v>81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C45" s="39">
        <v>300.0</v>
      </c>
      <c r="AE45" s="39">
        <v>1.0</v>
      </c>
    </row>
    <row r="46">
      <c r="A46" s="39" t="s">
        <v>2147</v>
      </c>
      <c r="D46" s="39" t="s">
        <v>2087</v>
      </c>
      <c r="E46" s="39" t="s">
        <v>5</v>
      </c>
      <c r="F46" s="39" t="s">
        <v>64</v>
      </c>
      <c r="G46" s="39" t="s">
        <v>2191</v>
      </c>
      <c r="H46" s="39" t="s">
        <v>2191</v>
      </c>
      <c r="I46" s="70">
        <v>96.36</v>
      </c>
      <c r="L46" s="39" t="s">
        <v>2149</v>
      </c>
      <c r="N46" s="39" t="s">
        <v>67</v>
      </c>
      <c r="O46" s="39" t="s">
        <v>81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450.0</v>
      </c>
      <c r="AE46" s="39">
        <v>1.0</v>
      </c>
    </row>
    <row r="47">
      <c r="A47" s="39" t="s">
        <v>2150</v>
      </c>
      <c r="D47" s="39" t="s">
        <v>2087</v>
      </c>
      <c r="E47" s="39" t="s">
        <v>5</v>
      </c>
      <c r="F47" s="39" t="s">
        <v>64</v>
      </c>
      <c r="G47" s="39" t="s">
        <v>2192</v>
      </c>
      <c r="H47" s="39" t="s">
        <v>2192</v>
      </c>
      <c r="I47" s="70">
        <v>97.94</v>
      </c>
      <c r="L47" s="39" t="s">
        <v>2133</v>
      </c>
      <c r="N47" s="39" t="s">
        <v>67</v>
      </c>
      <c r="O47" s="39" t="s">
        <v>81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700.0</v>
      </c>
      <c r="AE47" s="39">
        <v>1.0</v>
      </c>
    </row>
    <row r="48">
      <c r="A48" s="39" t="s">
        <v>2193</v>
      </c>
      <c r="B48" s="39" t="s">
        <v>2194</v>
      </c>
      <c r="C48" s="39" t="s">
        <v>2195</v>
      </c>
      <c r="D48" s="39" t="s">
        <v>2087</v>
      </c>
      <c r="E48" s="39" t="s">
        <v>5</v>
      </c>
      <c r="F48" s="39" t="s">
        <v>64</v>
      </c>
      <c r="G48" s="39" t="s">
        <v>2196</v>
      </c>
      <c r="H48" s="39" t="s">
        <v>2196</v>
      </c>
      <c r="I48" s="70">
        <v>99.88</v>
      </c>
      <c r="L48" s="39" t="s">
        <v>2197</v>
      </c>
      <c r="N48" s="39" t="s">
        <v>67</v>
      </c>
      <c r="O48" s="39" t="s">
        <v>67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500.0</v>
      </c>
      <c r="AE48" s="39">
        <v>1.0</v>
      </c>
    </row>
    <row r="49">
      <c r="A49" s="39" t="s">
        <v>2198</v>
      </c>
      <c r="B49" s="39" t="s">
        <v>2194</v>
      </c>
      <c r="C49" s="39" t="s">
        <v>2195</v>
      </c>
      <c r="D49" s="39" t="s">
        <v>2087</v>
      </c>
      <c r="E49" s="39" t="s">
        <v>5</v>
      </c>
      <c r="F49" s="39" t="s">
        <v>64</v>
      </c>
      <c r="G49" s="39" t="s">
        <v>2199</v>
      </c>
      <c r="H49" s="39" t="s">
        <v>2199</v>
      </c>
      <c r="I49" s="70">
        <v>101.03</v>
      </c>
      <c r="L49" s="39" t="s">
        <v>2140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400.0</v>
      </c>
      <c r="AE49" s="39">
        <v>1.0</v>
      </c>
    </row>
    <row r="50">
      <c r="A50" s="39" t="s">
        <v>2193</v>
      </c>
      <c r="B50" s="39" t="s">
        <v>2194</v>
      </c>
      <c r="C50" s="39" t="s">
        <v>2195</v>
      </c>
      <c r="D50" s="39" t="s">
        <v>2087</v>
      </c>
      <c r="E50" s="39" t="s">
        <v>5</v>
      </c>
      <c r="F50" s="39" t="s">
        <v>64</v>
      </c>
      <c r="G50" s="39" t="s">
        <v>2200</v>
      </c>
      <c r="H50" s="39" t="s">
        <v>2200</v>
      </c>
      <c r="I50" s="70">
        <v>102.68</v>
      </c>
      <c r="L50" s="39" t="s">
        <v>2149</v>
      </c>
      <c r="N50" s="39" t="s">
        <v>67</v>
      </c>
      <c r="O50" s="39" t="s">
        <v>81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600.0</v>
      </c>
      <c r="AE50" s="39">
        <v>1.0</v>
      </c>
    </row>
    <row r="51">
      <c r="A51" s="39" t="s">
        <v>2201</v>
      </c>
      <c r="B51" s="39" t="s">
        <v>2194</v>
      </c>
      <c r="C51" s="39" t="s">
        <v>2195</v>
      </c>
      <c r="D51" s="39" t="s">
        <v>2087</v>
      </c>
      <c r="E51" s="39" t="s">
        <v>5</v>
      </c>
      <c r="F51" s="39" t="s">
        <v>64</v>
      </c>
      <c r="G51" s="39" t="s">
        <v>2202</v>
      </c>
      <c r="H51" s="39" t="s">
        <v>2202</v>
      </c>
      <c r="I51" s="70">
        <v>103.673</v>
      </c>
      <c r="L51" s="39" t="s">
        <v>2133</v>
      </c>
      <c r="N51" s="39" t="s">
        <v>67</v>
      </c>
      <c r="O51" s="39" t="s">
        <v>81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400.0</v>
      </c>
      <c r="AE51" s="39">
        <v>1.0</v>
      </c>
    </row>
    <row r="52">
      <c r="A52" s="39" t="s">
        <v>2203</v>
      </c>
      <c r="B52" s="39" t="s">
        <v>2204</v>
      </c>
      <c r="C52" s="39" t="s">
        <v>2205</v>
      </c>
      <c r="D52" s="39" t="s">
        <v>2087</v>
      </c>
      <c r="E52" s="39" t="s">
        <v>5</v>
      </c>
      <c r="F52" s="39" t="s">
        <v>64</v>
      </c>
      <c r="G52" s="39" t="s">
        <v>2206</v>
      </c>
      <c r="H52" s="39" t="s">
        <v>2206</v>
      </c>
      <c r="I52" s="70">
        <v>105.003</v>
      </c>
      <c r="L52" s="39" t="s">
        <v>2126</v>
      </c>
      <c r="N52" s="39" t="s">
        <v>67</v>
      </c>
      <c r="O52" s="39" t="s">
        <v>67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415.0</v>
      </c>
      <c r="AE52" s="39">
        <v>1.0</v>
      </c>
    </row>
    <row r="53">
      <c r="A53" s="39" t="s">
        <v>2207</v>
      </c>
      <c r="B53" s="39" t="s">
        <v>2204</v>
      </c>
      <c r="C53" s="39" t="s">
        <v>2205</v>
      </c>
      <c r="D53" s="39" t="s">
        <v>2087</v>
      </c>
      <c r="E53" s="39" t="s">
        <v>5</v>
      </c>
      <c r="F53" s="39" t="s">
        <v>64</v>
      </c>
      <c r="G53" s="39" t="s">
        <v>2208</v>
      </c>
      <c r="H53" s="39" t="s">
        <v>2208</v>
      </c>
      <c r="I53" s="70">
        <v>106.083</v>
      </c>
      <c r="L53" s="39" t="s">
        <v>2140</v>
      </c>
      <c r="N53" s="39" t="s">
        <v>67</v>
      </c>
      <c r="O53" s="39" t="s">
        <v>81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1.0</v>
      </c>
      <c r="W53" s="39">
        <v>0.0</v>
      </c>
      <c r="X53" s="39">
        <v>1.0</v>
      </c>
      <c r="Y53" s="39">
        <v>0.0</v>
      </c>
      <c r="Z53" s="39" t="s">
        <v>2117</v>
      </c>
      <c r="AA53" s="30" t="s">
        <v>115</v>
      </c>
      <c r="AC53" s="39">
        <v>250.0</v>
      </c>
      <c r="AE53" s="39">
        <v>1.0</v>
      </c>
    </row>
    <row r="54">
      <c r="A54" s="39" t="s">
        <v>2209</v>
      </c>
      <c r="B54" s="39" t="s">
        <v>2204</v>
      </c>
      <c r="C54" s="39" t="s">
        <v>2205</v>
      </c>
      <c r="D54" s="39" t="s">
        <v>2087</v>
      </c>
      <c r="E54" s="39" t="s">
        <v>5</v>
      </c>
      <c r="F54" s="39" t="s">
        <v>64</v>
      </c>
      <c r="G54" s="39" t="s">
        <v>2210</v>
      </c>
      <c r="H54" s="39" t="s">
        <v>2210</v>
      </c>
      <c r="I54" s="70">
        <v>107.32300000000001</v>
      </c>
      <c r="L54" s="39" t="s">
        <v>2143</v>
      </c>
      <c r="N54" s="39" t="s">
        <v>119</v>
      </c>
      <c r="O54" s="39" t="s">
        <v>67</v>
      </c>
      <c r="Q54" s="39">
        <v>0.0</v>
      </c>
      <c r="R54" s="39">
        <v>1.0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245.0</v>
      </c>
      <c r="AE54" s="39">
        <v>1.0</v>
      </c>
    </row>
    <row r="55">
      <c r="A55" s="39" t="s">
        <v>2211</v>
      </c>
      <c r="B55" s="39" t="s">
        <v>2204</v>
      </c>
      <c r="C55" s="39" t="s">
        <v>2205</v>
      </c>
      <c r="D55" s="39" t="s">
        <v>2087</v>
      </c>
      <c r="E55" s="39" t="s">
        <v>5</v>
      </c>
      <c r="F55" s="39" t="s">
        <v>64</v>
      </c>
      <c r="G55" s="39" t="s">
        <v>2212</v>
      </c>
      <c r="H55" s="39" t="s">
        <v>2212</v>
      </c>
      <c r="I55" s="70">
        <v>107.78999999999999</v>
      </c>
      <c r="L55" s="39" t="s">
        <v>2146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300.0</v>
      </c>
      <c r="AE55" s="39">
        <v>1.0</v>
      </c>
    </row>
    <row r="56">
      <c r="A56" s="39" t="s">
        <v>2213</v>
      </c>
      <c r="D56" s="39" t="s">
        <v>2087</v>
      </c>
      <c r="E56" s="39" t="s">
        <v>5</v>
      </c>
      <c r="F56" s="39" t="s">
        <v>64</v>
      </c>
      <c r="G56" s="39" t="s">
        <v>2214</v>
      </c>
      <c r="H56" s="39" t="s">
        <v>2214</v>
      </c>
      <c r="I56" s="70">
        <v>108.95</v>
      </c>
      <c r="L56" s="39" t="s">
        <v>2149</v>
      </c>
      <c r="N56" s="39" t="s">
        <v>67</v>
      </c>
      <c r="O56" s="39" t="s">
        <v>67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410.0</v>
      </c>
      <c r="AE56" s="39">
        <v>1.0</v>
      </c>
    </row>
    <row r="57">
      <c r="A57" s="39" t="s">
        <v>2215</v>
      </c>
      <c r="B57" s="39" t="s">
        <v>2204</v>
      </c>
      <c r="C57" s="39" t="s">
        <v>2205</v>
      </c>
      <c r="D57" s="39" t="s">
        <v>2087</v>
      </c>
      <c r="E57" s="39" t="s">
        <v>5</v>
      </c>
      <c r="F57" s="39" t="s">
        <v>64</v>
      </c>
      <c r="G57" s="39" t="s">
        <v>2216</v>
      </c>
      <c r="H57" s="39" t="s">
        <v>2216</v>
      </c>
      <c r="I57" s="70">
        <v>109.96000000000001</v>
      </c>
      <c r="L57" s="39" t="s">
        <v>2133</v>
      </c>
      <c r="N57" s="39" t="s">
        <v>67</v>
      </c>
      <c r="O57" s="39" t="s">
        <v>81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400.0</v>
      </c>
      <c r="AE57" s="39">
        <v>1.0</v>
      </c>
    </row>
    <row r="58">
      <c r="A58" s="39" t="s">
        <v>2217</v>
      </c>
      <c r="B58" s="39" t="s">
        <v>2218</v>
      </c>
      <c r="C58" s="39" t="s">
        <v>2219</v>
      </c>
      <c r="D58" s="39" t="s">
        <v>2087</v>
      </c>
      <c r="E58" s="39" t="s">
        <v>5</v>
      </c>
      <c r="F58" s="39" t="s">
        <v>64</v>
      </c>
      <c r="G58" s="39" t="s">
        <v>2220</v>
      </c>
      <c r="H58" s="39" t="s">
        <v>2220</v>
      </c>
      <c r="I58" s="70">
        <v>112.15</v>
      </c>
      <c r="L58" s="39" t="s">
        <v>2126</v>
      </c>
      <c r="N58" s="39" t="s">
        <v>67</v>
      </c>
      <c r="O58" s="39" t="s">
        <v>81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500.0</v>
      </c>
      <c r="AE58" s="39">
        <v>1.0</v>
      </c>
    </row>
    <row r="59">
      <c r="A59" s="39" t="s">
        <v>2221</v>
      </c>
      <c r="B59" s="39" t="s">
        <v>2218</v>
      </c>
      <c r="C59" s="39" t="s">
        <v>2219</v>
      </c>
      <c r="D59" s="39" t="s">
        <v>2087</v>
      </c>
      <c r="E59" s="39" t="s">
        <v>5</v>
      </c>
      <c r="F59" s="39" t="s">
        <v>64</v>
      </c>
      <c r="G59" s="39" t="s">
        <v>2222</v>
      </c>
      <c r="H59" s="39" t="s">
        <v>2222</v>
      </c>
      <c r="I59" s="70">
        <v>113.23</v>
      </c>
      <c r="L59" s="39" t="s">
        <v>2140</v>
      </c>
      <c r="N59" s="39" t="s">
        <v>67</v>
      </c>
      <c r="O59" s="39" t="s">
        <v>67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350.0</v>
      </c>
      <c r="AE59" s="39">
        <v>1.0</v>
      </c>
    </row>
    <row r="60">
      <c r="A60" s="39" t="s">
        <v>2147</v>
      </c>
      <c r="D60" s="39" t="s">
        <v>2087</v>
      </c>
      <c r="E60" s="39" t="s">
        <v>5</v>
      </c>
      <c r="F60" s="39" t="s">
        <v>64</v>
      </c>
      <c r="G60" s="39" t="s">
        <v>2223</v>
      </c>
      <c r="H60" s="39" t="s">
        <v>2223</v>
      </c>
      <c r="I60" s="70">
        <v>115.78</v>
      </c>
      <c r="L60" s="39" t="s">
        <v>2149</v>
      </c>
      <c r="N60" s="39" t="s">
        <v>67</v>
      </c>
      <c r="O60" s="39" t="s">
        <v>81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450.0</v>
      </c>
      <c r="AE60" s="39">
        <v>1.0</v>
      </c>
    </row>
    <row r="61">
      <c r="A61" s="39" t="s">
        <v>2224</v>
      </c>
      <c r="D61" s="39" t="s">
        <v>2087</v>
      </c>
      <c r="E61" s="39" t="s">
        <v>5</v>
      </c>
      <c r="F61" s="39" t="s">
        <v>64</v>
      </c>
      <c r="G61" s="39" t="s">
        <v>2225</v>
      </c>
      <c r="H61" s="39" t="s">
        <v>2225</v>
      </c>
      <c r="I61" s="70">
        <v>116.89</v>
      </c>
      <c r="L61" s="39" t="s">
        <v>2133</v>
      </c>
      <c r="N61" s="39" t="s">
        <v>67</v>
      </c>
      <c r="O61" s="39" t="s">
        <v>67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300.0</v>
      </c>
      <c r="AE61" s="39">
        <v>1.0</v>
      </c>
    </row>
    <row r="62">
      <c r="A62" s="39" t="s">
        <v>2226</v>
      </c>
      <c r="B62" s="39" t="s">
        <v>2227</v>
      </c>
      <c r="C62" s="39" t="s">
        <v>2228</v>
      </c>
      <c r="D62" s="39" t="s">
        <v>2087</v>
      </c>
      <c r="E62" s="39" t="s">
        <v>5</v>
      </c>
      <c r="F62" s="39" t="s">
        <v>64</v>
      </c>
      <c r="G62" s="39" t="s">
        <v>2229</v>
      </c>
      <c r="H62" s="39" t="s">
        <v>2229</v>
      </c>
      <c r="I62" s="70">
        <v>118.1</v>
      </c>
      <c r="L62" s="39" t="s">
        <v>2126</v>
      </c>
      <c r="N62" s="39" t="s">
        <v>67</v>
      </c>
      <c r="O62" s="39" t="s">
        <v>81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450.0</v>
      </c>
      <c r="AE62" s="39">
        <v>1.0</v>
      </c>
    </row>
    <row r="63">
      <c r="A63" s="39" t="s">
        <v>2230</v>
      </c>
      <c r="B63" s="39" t="s">
        <v>2227</v>
      </c>
      <c r="C63" s="39" t="s">
        <v>2228</v>
      </c>
      <c r="D63" s="39" t="s">
        <v>2087</v>
      </c>
      <c r="E63" s="39" t="s">
        <v>5</v>
      </c>
      <c r="F63" s="39" t="s">
        <v>64</v>
      </c>
      <c r="G63" s="39" t="s">
        <v>2231</v>
      </c>
      <c r="H63" s="39" t="s">
        <v>2231</v>
      </c>
      <c r="I63" s="70">
        <v>119.096</v>
      </c>
      <c r="L63" s="39" t="s">
        <v>2140</v>
      </c>
      <c r="N63" s="39" t="s">
        <v>119</v>
      </c>
      <c r="O63" s="39" t="s">
        <v>67</v>
      </c>
      <c r="Q63" s="39">
        <v>0.0</v>
      </c>
      <c r="R63" s="39">
        <v>1.0</v>
      </c>
      <c r="S63" s="39">
        <v>0.0</v>
      </c>
      <c r="T63" s="39">
        <v>0.0</v>
      </c>
      <c r="U63" s="39">
        <v>0.0</v>
      </c>
      <c r="V63" s="39">
        <v>1.0</v>
      </c>
      <c r="W63" s="39">
        <v>0.0</v>
      </c>
      <c r="X63" s="39">
        <v>3.0</v>
      </c>
      <c r="Y63" s="39">
        <v>3.0</v>
      </c>
      <c r="Z63" s="39" t="s">
        <v>2232</v>
      </c>
      <c r="AA63" s="30" t="s">
        <v>2233</v>
      </c>
      <c r="AC63" s="39">
        <v>250.0</v>
      </c>
      <c r="AE63" s="39">
        <v>1.0</v>
      </c>
    </row>
    <row r="64">
      <c r="A64" s="39" t="s">
        <v>2234</v>
      </c>
      <c r="B64" s="39" t="s">
        <v>2227</v>
      </c>
      <c r="C64" s="39" t="s">
        <v>2228</v>
      </c>
      <c r="D64" s="39" t="s">
        <v>2087</v>
      </c>
      <c r="E64" s="39" t="s">
        <v>5</v>
      </c>
      <c r="F64" s="39" t="s">
        <v>64</v>
      </c>
      <c r="G64" s="39" t="s">
        <v>657</v>
      </c>
      <c r="I64" s="70">
        <v>120.666</v>
      </c>
      <c r="L64" s="39" t="s">
        <v>2143</v>
      </c>
      <c r="N64" s="39" t="s">
        <v>81</v>
      </c>
      <c r="O64" s="39" t="s">
        <v>68</v>
      </c>
      <c r="Q64" s="39">
        <v>1.0</v>
      </c>
      <c r="R64" s="39">
        <v>0.0</v>
      </c>
      <c r="S64" s="39">
        <v>0.0</v>
      </c>
      <c r="T64" s="39">
        <v>0.0</v>
      </c>
      <c r="U64" s="39">
        <v>0.0</v>
      </c>
      <c r="V64" s="39">
        <v>1.0</v>
      </c>
      <c r="W64" s="39">
        <v>1.0</v>
      </c>
      <c r="X64" s="39">
        <v>0.0</v>
      </c>
      <c r="Y64" s="39">
        <v>1.0</v>
      </c>
      <c r="Z64" s="39" t="s">
        <v>2235</v>
      </c>
      <c r="AA64" s="30" t="s">
        <v>97</v>
      </c>
      <c r="AC64" s="39">
        <v>300.0</v>
      </c>
      <c r="AE64" s="39">
        <v>1.0</v>
      </c>
    </row>
    <row r="65">
      <c r="I65" s="70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2087</v>
      </c>
      <c r="B2" s="39" t="s">
        <v>2236</v>
      </c>
      <c r="C2" s="39" t="s">
        <v>64</v>
      </c>
      <c r="D2" s="71" t="s">
        <v>2237</v>
      </c>
      <c r="E2" s="71" t="s">
        <v>2238</v>
      </c>
      <c r="H2" s="39">
        <v>90.0</v>
      </c>
      <c r="M2" s="39" t="s">
        <v>2239</v>
      </c>
      <c r="O2" s="39" t="s">
        <v>2091</v>
      </c>
    </row>
    <row r="3">
      <c r="A3" s="39" t="s">
        <v>2087</v>
      </c>
      <c r="B3" s="39" t="s">
        <v>2236</v>
      </c>
      <c r="C3" s="39" t="s">
        <v>64</v>
      </c>
      <c r="D3" s="71" t="s">
        <v>2240</v>
      </c>
      <c r="E3" s="71" t="s">
        <v>2241</v>
      </c>
      <c r="F3" s="39">
        <v>63.786</v>
      </c>
      <c r="G3" s="39">
        <v>65.306</v>
      </c>
      <c r="H3" s="39">
        <v>85.0</v>
      </c>
      <c r="I3" s="72">
        <v>19.29484</v>
      </c>
      <c r="J3" s="72">
        <v>73.20268</v>
      </c>
      <c r="K3" s="73">
        <v>19.3045695</v>
      </c>
      <c r="L3" s="73">
        <v>73.211849</v>
      </c>
      <c r="M3" s="39" t="s">
        <v>2242</v>
      </c>
      <c r="O3" s="39" t="s">
        <v>2121</v>
      </c>
    </row>
    <row r="4">
      <c r="A4" s="39" t="s">
        <v>2087</v>
      </c>
      <c r="B4" s="39" t="s">
        <v>2236</v>
      </c>
      <c r="C4" s="39" t="s">
        <v>64</v>
      </c>
      <c r="D4" s="74" t="s">
        <v>2243</v>
      </c>
      <c r="E4" s="74" t="s">
        <v>2244</v>
      </c>
      <c r="F4" s="39">
        <v>71.974</v>
      </c>
      <c r="G4" s="39">
        <v>72.864</v>
      </c>
      <c r="H4" s="39">
        <v>90.0</v>
      </c>
      <c r="I4" s="72">
        <v>19.35352</v>
      </c>
      <c r="J4" s="72">
        <v>73.21382</v>
      </c>
      <c r="K4" s="72">
        <v>19.35749</v>
      </c>
      <c r="L4" s="72">
        <v>73.22105</v>
      </c>
      <c r="M4" s="39" t="s">
        <v>2245</v>
      </c>
      <c r="O4" s="39" t="s">
        <v>2141</v>
      </c>
    </row>
    <row r="5">
      <c r="A5" s="39" t="s">
        <v>2087</v>
      </c>
      <c r="B5" s="39" t="s">
        <v>2236</v>
      </c>
      <c r="C5" s="39" t="s">
        <v>64</v>
      </c>
      <c r="D5" s="71" t="s">
        <v>2246</v>
      </c>
      <c r="E5" s="71" t="s">
        <v>2247</v>
      </c>
      <c r="F5" s="39">
        <v>79.795</v>
      </c>
      <c r="G5" s="39">
        <v>80.691</v>
      </c>
      <c r="H5" s="39">
        <v>80.0</v>
      </c>
      <c r="I5" s="72">
        <v>19.40787</v>
      </c>
      <c r="J5" s="72">
        <v>73.26908</v>
      </c>
      <c r="K5" s="72">
        <v>19.41004</v>
      </c>
      <c r="L5" s="72">
        <v>73.27719</v>
      </c>
      <c r="M5" s="39" t="s">
        <v>2245</v>
      </c>
      <c r="O5" s="39" t="s">
        <v>2161</v>
      </c>
    </row>
    <row r="6">
      <c r="A6" s="39" t="s">
        <v>2087</v>
      </c>
      <c r="B6" s="39" t="s">
        <v>2236</v>
      </c>
      <c r="C6" s="39" t="s">
        <v>64</v>
      </c>
      <c r="D6" s="71" t="s">
        <v>2248</v>
      </c>
      <c r="E6" s="71" t="s">
        <v>2249</v>
      </c>
      <c r="F6" s="39">
        <v>89.388</v>
      </c>
      <c r="G6" s="39">
        <v>90.738</v>
      </c>
      <c r="H6" s="39">
        <v>95.0</v>
      </c>
      <c r="I6" s="72">
        <v>19.47389</v>
      </c>
      <c r="J6" s="72">
        <v>73.30394</v>
      </c>
      <c r="K6" s="72">
        <v>19.48057</v>
      </c>
      <c r="L6" s="72">
        <v>73.31394</v>
      </c>
      <c r="M6" s="39" t="s">
        <v>2250</v>
      </c>
      <c r="O6" s="39" t="s">
        <v>2251</v>
      </c>
    </row>
    <row r="7">
      <c r="A7" s="39" t="s">
        <v>2087</v>
      </c>
      <c r="B7" s="39" t="s">
        <v>2236</v>
      </c>
      <c r="C7" s="39" t="s">
        <v>64</v>
      </c>
      <c r="D7" s="71" t="s">
        <v>2249</v>
      </c>
      <c r="E7" s="71" t="s">
        <v>2252</v>
      </c>
      <c r="F7" s="39">
        <v>92.213</v>
      </c>
      <c r="G7" s="39">
        <v>93.433</v>
      </c>
      <c r="H7" s="39">
        <v>80.0</v>
      </c>
      <c r="I7" s="72">
        <v>19.48057</v>
      </c>
      <c r="J7" s="72">
        <v>73.31394</v>
      </c>
      <c r="K7" s="72">
        <v>19.4865411</v>
      </c>
      <c r="L7" s="72">
        <v>73.3228478</v>
      </c>
      <c r="M7" s="39" t="s">
        <v>2250</v>
      </c>
      <c r="O7" s="39" t="s">
        <v>2253</v>
      </c>
    </row>
    <row r="8">
      <c r="A8" s="39" t="s">
        <v>2087</v>
      </c>
      <c r="B8" s="39" t="s">
        <v>2236</v>
      </c>
      <c r="C8" s="39" t="s">
        <v>64</v>
      </c>
      <c r="D8" s="39" t="s">
        <v>2254</v>
      </c>
      <c r="E8" s="39" t="s">
        <v>2255</v>
      </c>
      <c r="F8" s="39">
        <v>95.571</v>
      </c>
      <c r="G8" s="39">
        <v>95.896</v>
      </c>
      <c r="H8" s="39">
        <v>85.0</v>
      </c>
      <c r="I8" s="72">
        <v>19.50778</v>
      </c>
      <c r="J8" s="72">
        <v>73.32696</v>
      </c>
      <c r="K8" s="72">
        <v>19.51063</v>
      </c>
      <c r="L8" s="72">
        <v>73.32749</v>
      </c>
      <c r="M8" s="39" t="s">
        <v>2256</v>
      </c>
      <c r="O8" s="39" t="s">
        <v>2189</v>
      </c>
    </row>
    <row r="9">
      <c r="A9" s="39" t="s">
        <v>2087</v>
      </c>
      <c r="B9" s="39" t="s">
        <v>2236</v>
      </c>
      <c r="C9" s="39" t="s">
        <v>64</v>
      </c>
      <c r="D9" s="39" t="s">
        <v>2257</v>
      </c>
      <c r="E9" s="39" t="s">
        <v>2258</v>
      </c>
      <c r="F9" s="39">
        <v>119.442</v>
      </c>
      <c r="G9" s="39">
        <v>120.098</v>
      </c>
      <c r="H9" s="39">
        <v>50.0</v>
      </c>
      <c r="I9" s="72">
        <v>19.6408708701391</v>
      </c>
      <c r="J9" s="73">
        <v>73.4693648539291</v>
      </c>
      <c r="K9" s="72">
        <v>19.6462044155613</v>
      </c>
      <c r="L9" s="72">
        <v>73.472009333231</v>
      </c>
      <c r="M9" s="39" t="s">
        <v>2259</v>
      </c>
      <c r="O9" s="39" t="s">
        <v>2260</v>
      </c>
    </row>
    <row r="10">
      <c r="I10" s="72"/>
      <c r="J10" s="72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39" t="s">
        <v>377</v>
      </c>
      <c r="B1" s="39" t="s">
        <v>378</v>
      </c>
    </row>
    <row r="2">
      <c r="A2" s="71" t="s">
        <v>2261</v>
      </c>
      <c r="B2" s="39" t="s">
        <v>2095</v>
      </c>
    </row>
    <row r="3">
      <c r="A3" s="71" t="s">
        <v>2262</v>
      </c>
      <c r="B3" s="39" t="s">
        <v>2263</v>
      </c>
    </row>
    <row r="4">
      <c r="A4" s="71" t="s">
        <v>2264</v>
      </c>
      <c r="B4" s="39" t="s">
        <v>2121</v>
      </c>
    </row>
    <row r="5">
      <c r="A5" s="71" t="s">
        <v>2265</v>
      </c>
      <c r="B5" s="39" t="s">
        <v>2141</v>
      </c>
    </row>
    <row r="6">
      <c r="A6" s="71" t="s">
        <v>2266</v>
      </c>
      <c r="B6" s="39" t="s">
        <v>2267</v>
      </c>
    </row>
    <row r="7">
      <c r="A7" s="71" t="s">
        <v>2268</v>
      </c>
      <c r="B7" s="39" t="s">
        <v>2174</v>
      </c>
    </row>
    <row r="8">
      <c r="A8" s="71" t="s">
        <v>2269</v>
      </c>
      <c r="B8" s="39" t="s">
        <v>2187</v>
      </c>
    </row>
    <row r="9">
      <c r="A9" s="71" t="s">
        <v>2270</v>
      </c>
      <c r="B9" s="39" t="s">
        <v>2198</v>
      </c>
    </row>
    <row r="10">
      <c r="A10" s="71" t="s">
        <v>2271</v>
      </c>
      <c r="B10" s="39" t="s">
        <v>2209</v>
      </c>
    </row>
    <row r="11">
      <c r="A11" s="71" t="s">
        <v>2272</v>
      </c>
      <c r="B11" s="39" t="s">
        <v>2273</v>
      </c>
    </row>
    <row r="12">
      <c r="A12" s="39" t="s">
        <v>2274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2234</v>
      </c>
      <c r="B2" s="39" t="s">
        <v>2227</v>
      </c>
      <c r="C2" s="39" t="s">
        <v>2228</v>
      </c>
      <c r="D2" s="39" t="s">
        <v>2275</v>
      </c>
      <c r="E2" s="39" t="s">
        <v>1771</v>
      </c>
      <c r="F2" s="39" t="s">
        <v>64</v>
      </c>
      <c r="G2" s="39" t="s">
        <v>657</v>
      </c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1.0</v>
      </c>
      <c r="Z2" s="39" t="s">
        <v>2276</v>
      </c>
      <c r="AA2" s="30" t="s">
        <v>97</v>
      </c>
      <c r="AE2" s="39">
        <v>1.0</v>
      </c>
    </row>
    <row r="3">
      <c r="A3" s="39" t="s">
        <v>2260</v>
      </c>
      <c r="B3" s="39" t="s">
        <v>2227</v>
      </c>
      <c r="C3" s="39" t="s">
        <v>2228</v>
      </c>
      <c r="D3" s="39" t="s">
        <v>2275</v>
      </c>
      <c r="E3" s="39" t="s">
        <v>1771</v>
      </c>
      <c r="F3" s="39" t="s">
        <v>64</v>
      </c>
      <c r="G3" s="39" t="s">
        <v>662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1.0</v>
      </c>
      <c r="Y3" s="39">
        <v>0.0</v>
      </c>
      <c r="Z3" s="39" t="s">
        <v>2277</v>
      </c>
      <c r="AA3" s="30" t="s">
        <v>115</v>
      </c>
      <c r="AE3" s="39">
        <v>1.0</v>
      </c>
    </row>
    <row r="4">
      <c r="A4" s="39" t="s">
        <v>2278</v>
      </c>
      <c r="B4" s="39" t="s">
        <v>2227</v>
      </c>
      <c r="C4" s="39" t="s">
        <v>2228</v>
      </c>
      <c r="D4" s="39" t="s">
        <v>2275</v>
      </c>
      <c r="E4" s="39" t="s">
        <v>1771</v>
      </c>
      <c r="F4" s="39" t="s">
        <v>64</v>
      </c>
      <c r="G4" s="39" t="s">
        <v>65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1.0</v>
      </c>
      <c r="Y4" s="39">
        <v>0.0</v>
      </c>
      <c r="Z4" s="39" t="s">
        <v>2277</v>
      </c>
      <c r="AA4" s="30" t="s">
        <v>115</v>
      </c>
      <c r="AE4" s="39">
        <v>1.0</v>
      </c>
    </row>
    <row r="5">
      <c r="A5" s="39" t="s">
        <v>2279</v>
      </c>
      <c r="B5" s="39" t="s">
        <v>2227</v>
      </c>
      <c r="C5" s="39" t="s">
        <v>2228</v>
      </c>
      <c r="D5" s="39" t="s">
        <v>2275</v>
      </c>
      <c r="E5" s="39" t="s">
        <v>1771</v>
      </c>
      <c r="F5" s="39" t="s">
        <v>64</v>
      </c>
      <c r="G5" s="39" t="s">
        <v>2280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1.0</v>
      </c>
      <c r="W5" s="39">
        <v>1.0</v>
      </c>
      <c r="X5" s="39">
        <v>0.0</v>
      </c>
      <c r="Y5" s="39">
        <v>1.0</v>
      </c>
      <c r="Z5" s="39" t="s">
        <v>2276</v>
      </c>
      <c r="AA5" s="30" t="s">
        <v>97</v>
      </c>
      <c r="AE5" s="39">
        <v>1.0</v>
      </c>
    </row>
    <row r="6">
      <c r="A6" s="39" t="s">
        <v>2281</v>
      </c>
      <c r="B6" s="39" t="s">
        <v>2227</v>
      </c>
      <c r="C6" s="39" t="s">
        <v>2228</v>
      </c>
      <c r="D6" s="39" t="s">
        <v>2275</v>
      </c>
      <c r="E6" s="39" t="s">
        <v>1771</v>
      </c>
      <c r="F6" s="39" t="s">
        <v>64</v>
      </c>
      <c r="G6" s="39" t="s">
        <v>2282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1.0</v>
      </c>
      <c r="W6" s="39">
        <v>1.0</v>
      </c>
      <c r="X6" s="39">
        <v>0.0</v>
      </c>
      <c r="Y6" s="39">
        <v>1.0</v>
      </c>
      <c r="Z6" s="39" t="s">
        <v>2276</v>
      </c>
      <c r="AA6" s="30" t="s">
        <v>97</v>
      </c>
      <c r="AE6" s="39">
        <v>1.0</v>
      </c>
    </row>
    <row r="7">
      <c r="A7" s="39" t="s">
        <v>2283</v>
      </c>
      <c r="B7" s="39" t="s">
        <v>2227</v>
      </c>
      <c r="C7" s="39" t="s">
        <v>2228</v>
      </c>
      <c r="D7" s="39" t="s">
        <v>2275</v>
      </c>
      <c r="E7" s="39" t="s">
        <v>1771</v>
      </c>
      <c r="F7" s="39" t="s">
        <v>64</v>
      </c>
      <c r="G7" s="39" t="s">
        <v>2284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1.0</v>
      </c>
      <c r="W7" s="39">
        <v>1.0</v>
      </c>
      <c r="X7" s="39">
        <v>0.0</v>
      </c>
      <c r="Y7" s="39">
        <v>1.0</v>
      </c>
      <c r="Z7" s="39" t="s">
        <v>2276</v>
      </c>
      <c r="AA7" s="30" t="s">
        <v>97</v>
      </c>
      <c r="AE7" s="39">
        <v>1.0</v>
      </c>
    </row>
    <row r="8">
      <c r="A8" s="39" t="s">
        <v>2285</v>
      </c>
      <c r="B8" s="39" t="s">
        <v>2227</v>
      </c>
      <c r="C8" s="39" t="s">
        <v>2228</v>
      </c>
      <c r="D8" s="39" t="s">
        <v>2275</v>
      </c>
      <c r="E8" s="39" t="s">
        <v>1771</v>
      </c>
      <c r="F8" s="39" t="s">
        <v>64</v>
      </c>
      <c r="G8" s="39" t="s">
        <v>2286</v>
      </c>
      <c r="H8" s="39" t="s">
        <v>2286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E8" s="39">
        <v>1.0</v>
      </c>
    </row>
    <row r="9">
      <c r="A9" s="39" t="s">
        <v>2287</v>
      </c>
      <c r="B9" s="39" t="s">
        <v>2288</v>
      </c>
      <c r="C9" s="39" t="s">
        <v>2288</v>
      </c>
      <c r="D9" s="39" t="s">
        <v>2275</v>
      </c>
      <c r="E9" s="39" t="s">
        <v>1771</v>
      </c>
      <c r="F9" s="39" t="s">
        <v>64</v>
      </c>
      <c r="G9" s="39" t="s">
        <v>2289</v>
      </c>
      <c r="H9" s="39" t="s">
        <v>2289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E9" s="39">
        <v>1.0</v>
      </c>
    </row>
    <row r="10">
      <c r="A10" s="39" t="s">
        <v>2290</v>
      </c>
      <c r="B10" s="39" t="s">
        <v>2288</v>
      </c>
      <c r="C10" s="39" t="s">
        <v>2288</v>
      </c>
      <c r="D10" s="39" t="s">
        <v>2275</v>
      </c>
      <c r="E10" s="39" t="s">
        <v>1771</v>
      </c>
      <c r="F10" s="39" t="s">
        <v>64</v>
      </c>
      <c r="G10" s="39" t="s">
        <v>2291</v>
      </c>
      <c r="H10" s="39" t="s">
        <v>2291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1.0</v>
      </c>
      <c r="W10" s="39">
        <v>0.0</v>
      </c>
      <c r="X10" s="39">
        <v>0.0</v>
      </c>
      <c r="Y10" s="39">
        <v>1.0</v>
      </c>
      <c r="Z10" s="39" t="s">
        <v>2276</v>
      </c>
      <c r="AA10" s="30" t="s">
        <v>97</v>
      </c>
      <c r="AE10" s="39">
        <v>1.0</v>
      </c>
    </row>
    <row r="11">
      <c r="A11" s="39" t="s">
        <v>2292</v>
      </c>
      <c r="B11" s="39" t="s">
        <v>2288</v>
      </c>
      <c r="C11" s="39" t="s">
        <v>2288</v>
      </c>
      <c r="D11" s="39" t="s">
        <v>2275</v>
      </c>
      <c r="E11" s="39" t="s">
        <v>1771</v>
      </c>
      <c r="F11" s="39" t="s">
        <v>64</v>
      </c>
      <c r="G11" s="39" t="s">
        <v>2293</v>
      </c>
      <c r="H11" s="39" t="s">
        <v>2293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A11" s="30"/>
      <c r="AE11" s="39">
        <v>1.0</v>
      </c>
    </row>
    <row r="12">
      <c r="A12" s="39" t="s">
        <v>2294</v>
      </c>
      <c r="B12" s="39" t="s">
        <v>2295</v>
      </c>
      <c r="C12" s="39" t="s">
        <v>2295</v>
      </c>
      <c r="D12" s="39" t="s">
        <v>2275</v>
      </c>
      <c r="E12" s="39" t="s">
        <v>1771</v>
      </c>
      <c r="F12" s="39" t="s">
        <v>64</v>
      </c>
      <c r="G12" s="39" t="s">
        <v>2296</v>
      </c>
      <c r="H12" s="39" t="s">
        <v>2296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A12" s="30"/>
      <c r="AE12" s="39">
        <v>1.0</v>
      </c>
    </row>
    <row r="13">
      <c r="A13" s="39" t="s">
        <v>2297</v>
      </c>
      <c r="B13" s="39" t="s">
        <v>2295</v>
      </c>
      <c r="C13" s="39" t="s">
        <v>2295</v>
      </c>
      <c r="D13" s="39" t="s">
        <v>2275</v>
      </c>
      <c r="E13" s="39" t="s">
        <v>1771</v>
      </c>
      <c r="F13" s="39" t="s">
        <v>64</v>
      </c>
      <c r="G13" s="39" t="s">
        <v>2298</v>
      </c>
      <c r="H13" s="39" t="s">
        <v>2298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1.0</v>
      </c>
      <c r="W13" s="39">
        <v>0.0</v>
      </c>
      <c r="X13" s="39">
        <v>0.0</v>
      </c>
      <c r="Y13" s="39">
        <v>0.0</v>
      </c>
      <c r="AA13" s="30"/>
      <c r="AE13" s="39">
        <v>1.0</v>
      </c>
    </row>
    <row r="14">
      <c r="A14" s="39" t="s">
        <v>2299</v>
      </c>
      <c r="B14" s="39" t="s">
        <v>2295</v>
      </c>
      <c r="C14" s="39" t="s">
        <v>2295</v>
      </c>
      <c r="D14" s="39" t="s">
        <v>2275</v>
      </c>
      <c r="E14" s="39" t="s">
        <v>1771</v>
      </c>
      <c r="F14" s="39" t="s">
        <v>64</v>
      </c>
      <c r="G14" s="39" t="s">
        <v>2300</v>
      </c>
      <c r="H14" s="39" t="s">
        <v>2300</v>
      </c>
      <c r="N14" s="39" t="s">
        <v>81</v>
      </c>
      <c r="O14" s="39" t="s">
        <v>68</v>
      </c>
      <c r="Q14" s="39">
        <v>1.0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E14" s="39">
        <v>1.0</v>
      </c>
    </row>
    <row r="15">
      <c r="A15" s="39" t="s">
        <v>2301</v>
      </c>
      <c r="B15" s="39" t="s">
        <v>2302</v>
      </c>
      <c r="C15" s="39" t="s">
        <v>2302</v>
      </c>
      <c r="D15" s="39" t="s">
        <v>2275</v>
      </c>
      <c r="E15" s="39" t="s">
        <v>1771</v>
      </c>
      <c r="F15" s="39" t="s">
        <v>64</v>
      </c>
      <c r="G15" s="39" t="s">
        <v>2303</v>
      </c>
      <c r="H15" s="39" t="s">
        <v>2303</v>
      </c>
      <c r="N15" s="39" t="s">
        <v>81</v>
      </c>
      <c r="O15" s="39" t="s">
        <v>68</v>
      </c>
      <c r="Q15" s="39">
        <v>1.0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E15" s="39">
        <v>1.0</v>
      </c>
    </row>
    <row r="16">
      <c r="A16" s="39" t="s">
        <v>2304</v>
      </c>
      <c r="B16" s="39" t="s">
        <v>2302</v>
      </c>
      <c r="C16" s="39" t="s">
        <v>2302</v>
      </c>
      <c r="D16" s="39" t="s">
        <v>2275</v>
      </c>
      <c r="E16" s="39" t="s">
        <v>1771</v>
      </c>
      <c r="F16" s="39" t="s">
        <v>64</v>
      </c>
      <c r="G16" s="39" t="s">
        <v>2305</v>
      </c>
      <c r="H16" s="39" t="s">
        <v>2305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E16" s="39">
        <v>1.0</v>
      </c>
    </row>
    <row r="17">
      <c r="A17" s="39" t="s">
        <v>2306</v>
      </c>
      <c r="B17" s="39" t="s">
        <v>2307</v>
      </c>
      <c r="C17" s="39" t="s">
        <v>2307</v>
      </c>
      <c r="D17" s="39" t="s">
        <v>2275</v>
      </c>
      <c r="E17" s="39" t="s">
        <v>1771</v>
      </c>
      <c r="F17" s="39" t="s">
        <v>64</v>
      </c>
      <c r="G17" s="39" t="s">
        <v>2308</v>
      </c>
      <c r="H17" s="39" t="s">
        <v>2308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1.0</v>
      </c>
      <c r="W17" s="39">
        <v>0.0</v>
      </c>
      <c r="X17" s="39">
        <v>3.0</v>
      </c>
      <c r="Y17" s="39">
        <v>3.0</v>
      </c>
      <c r="Z17" s="39" t="s">
        <v>2309</v>
      </c>
      <c r="AA17" s="30" t="s">
        <v>2233</v>
      </c>
      <c r="AE17" s="39">
        <v>1.0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2234</v>
      </c>
      <c r="B2" s="39" t="str">
        <f t="shared" ref="B2:B14" si="1">LEFT(A2,FIND(" ",A2) - 1)</f>
        <v>KSRA</v>
      </c>
      <c r="C2" s="39" t="s">
        <v>2228</v>
      </c>
      <c r="D2" s="39" t="s">
        <v>2275</v>
      </c>
      <c r="E2" s="39" t="s">
        <v>2310</v>
      </c>
      <c r="F2" s="39" t="s">
        <v>64</v>
      </c>
      <c r="G2" s="39" t="s">
        <v>657</v>
      </c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1.0</v>
      </c>
      <c r="Z2" s="39" t="s">
        <v>2276</v>
      </c>
      <c r="AA2" s="30" t="s">
        <v>97</v>
      </c>
      <c r="AE2" s="39">
        <v>1.0</v>
      </c>
    </row>
    <row r="3">
      <c r="A3" s="39" t="s">
        <v>2260</v>
      </c>
      <c r="B3" s="39" t="str">
        <f t="shared" si="1"/>
        <v>KSRA</v>
      </c>
      <c r="C3" s="39" t="s">
        <v>2228</v>
      </c>
      <c r="D3" s="39" t="s">
        <v>2275</v>
      </c>
      <c r="E3" s="39" t="s">
        <v>2310</v>
      </c>
      <c r="F3" s="39" t="s">
        <v>64</v>
      </c>
      <c r="G3" s="39" t="s">
        <v>662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1.0</v>
      </c>
      <c r="Y3" s="39">
        <v>0.0</v>
      </c>
      <c r="Z3" s="39" t="s">
        <v>2311</v>
      </c>
      <c r="AA3" s="30" t="s">
        <v>115</v>
      </c>
      <c r="AE3" s="39">
        <v>1.0</v>
      </c>
    </row>
    <row r="4">
      <c r="A4" s="39" t="s">
        <v>2278</v>
      </c>
      <c r="B4" s="39" t="str">
        <f t="shared" si="1"/>
        <v>KSRA</v>
      </c>
      <c r="C4" s="39" t="s">
        <v>2228</v>
      </c>
      <c r="D4" s="39" t="s">
        <v>2275</v>
      </c>
      <c r="E4" s="39" t="s">
        <v>2310</v>
      </c>
      <c r="F4" s="39" t="s">
        <v>64</v>
      </c>
      <c r="G4" s="39" t="s">
        <v>65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1.0</v>
      </c>
      <c r="Y4" s="39">
        <v>0.0</v>
      </c>
      <c r="Z4" s="39" t="s">
        <v>2311</v>
      </c>
      <c r="AA4" s="30" t="s">
        <v>115</v>
      </c>
      <c r="AE4" s="39">
        <v>1.0</v>
      </c>
    </row>
    <row r="5">
      <c r="A5" s="39" t="s">
        <v>2312</v>
      </c>
      <c r="B5" s="39" t="str">
        <f t="shared" si="1"/>
        <v>KSRA</v>
      </c>
      <c r="C5" s="39" t="s">
        <v>2228</v>
      </c>
      <c r="D5" s="39" t="s">
        <v>2275</v>
      </c>
      <c r="E5" s="39" t="s">
        <v>2310</v>
      </c>
      <c r="F5" s="39" t="s">
        <v>64</v>
      </c>
      <c r="G5" s="39" t="s">
        <v>2313</v>
      </c>
      <c r="H5" s="39" t="s">
        <v>2313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X5" s="39">
        <v>0.0</v>
      </c>
      <c r="Y5" s="39">
        <v>0.0</v>
      </c>
      <c r="AE5" s="39">
        <v>1.0</v>
      </c>
    </row>
    <row r="6">
      <c r="A6" s="39" t="s">
        <v>2287</v>
      </c>
      <c r="B6" s="39" t="str">
        <f t="shared" si="1"/>
        <v>TGR-3</v>
      </c>
      <c r="C6" s="39" t="s">
        <v>2288</v>
      </c>
      <c r="D6" s="39" t="s">
        <v>2275</v>
      </c>
      <c r="E6" s="39" t="s">
        <v>2310</v>
      </c>
      <c r="F6" s="39" t="s">
        <v>64</v>
      </c>
      <c r="G6" s="39" t="s">
        <v>2314</v>
      </c>
      <c r="H6" s="39" t="s">
        <v>2314</v>
      </c>
      <c r="N6" s="39" t="s">
        <v>81</v>
      </c>
      <c r="O6" s="39" t="s">
        <v>68</v>
      </c>
      <c r="Q6" s="39">
        <v>1.0</v>
      </c>
      <c r="R6" s="39">
        <v>0.0</v>
      </c>
      <c r="S6" s="39">
        <v>0.0</v>
      </c>
      <c r="T6" s="39">
        <v>0.0</v>
      </c>
      <c r="X6" s="39">
        <v>0.0</v>
      </c>
      <c r="Y6" s="39">
        <v>0.0</v>
      </c>
      <c r="AE6" s="39">
        <v>1.0</v>
      </c>
    </row>
    <row r="7">
      <c r="A7" s="39" t="s">
        <v>2315</v>
      </c>
      <c r="B7" s="39" t="str">
        <f t="shared" si="1"/>
        <v>TGR-3</v>
      </c>
      <c r="C7" s="39" t="s">
        <v>2288</v>
      </c>
      <c r="D7" s="39" t="s">
        <v>2275</v>
      </c>
      <c r="E7" s="39" t="s">
        <v>2310</v>
      </c>
      <c r="F7" s="39" t="s">
        <v>64</v>
      </c>
      <c r="G7" s="39" t="s">
        <v>2316</v>
      </c>
      <c r="H7" s="39" t="s">
        <v>2316</v>
      </c>
      <c r="N7" s="39" t="s">
        <v>81</v>
      </c>
      <c r="O7" s="39" t="s">
        <v>68</v>
      </c>
      <c r="Q7" s="39">
        <v>1.0</v>
      </c>
      <c r="R7" s="39">
        <v>0.0</v>
      </c>
      <c r="S7" s="39">
        <v>0.0</v>
      </c>
      <c r="T7" s="39">
        <v>0.0</v>
      </c>
      <c r="X7" s="39">
        <v>0.0</v>
      </c>
      <c r="Y7" s="39">
        <v>0.0</v>
      </c>
      <c r="AE7" s="39">
        <v>1.0</v>
      </c>
    </row>
    <row r="8">
      <c r="A8" s="39" t="s">
        <v>2317</v>
      </c>
      <c r="B8" s="39" t="str">
        <f t="shared" si="1"/>
        <v>TGR-3</v>
      </c>
      <c r="C8" s="39" t="s">
        <v>2288</v>
      </c>
      <c r="D8" s="39" t="s">
        <v>2275</v>
      </c>
      <c r="E8" s="39" t="s">
        <v>2310</v>
      </c>
      <c r="F8" s="39" t="s">
        <v>64</v>
      </c>
      <c r="G8" s="39" t="s">
        <v>2318</v>
      </c>
      <c r="H8" s="39" t="s">
        <v>2318</v>
      </c>
      <c r="N8" s="39" t="s">
        <v>81</v>
      </c>
      <c r="O8" s="39" t="s">
        <v>68</v>
      </c>
      <c r="Q8" s="39">
        <v>1.0</v>
      </c>
      <c r="R8" s="39">
        <v>0.0</v>
      </c>
      <c r="S8" s="39">
        <v>0.0</v>
      </c>
      <c r="T8" s="39">
        <v>0.0</v>
      </c>
      <c r="X8" s="39">
        <v>0.0</v>
      </c>
      <c r="Y8" s="39">
        <v>0.0</v>
      </c>
      <c r="AE8" s="39">
        <v>1.0</v>
      </c>
    </row>
    <row r="9">
      <c r="A9" s="39" t="s">
        <v>2294</v>
      </c>
      <c r="B9" s="40" t="str">
        <f t="shared" si="1"/>
        <v>TGR-2</v>
      </c>
      <c r="C9" s="40" t="s">
        <v>2295</v>
      </c>
      <c r="D9" s="39" t="s">
        <v>2275</v>
      </c>
      <c r="E9" s="39" t="s">
        <v>2310</v>
      </c>
      <c r="F9" s="39" t="s">
        <v>64</v>
      </c>
      <c r="G9" s="39" t="s">
        <v>2319</v>
      </c>
      <c r="H9" s="39" t="s">
        <v>2319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X9" s="39">
        <v>0.0</v>
      </c>
      <c r="Y9" s="39">
        <v>0.0</v>
      </c>
      <c r="AE9" s="39">
        <v>1.0</v>
      </c>
    </row>
    <row r="10">
      <c r="A10" s="39" t="s">
        <v>2320</v>
      </c>
      <c r="B10" s="40" t="str">
        <f t="shared" si="1"/>
        <v>TGR-2</v>
      </c>
      <c r="C10" s="40" t="s">
        <v>2295</v>
      </c>
      <c r="D10" s="39" t="s">
        <v>2275</v>
      </c>
      <c r="E10" s="39" t="s">
        <v>2310</v>
      </c>
      <c r="F10" s="39" t="s">
        <v>64</v>
      </c>
      <c r="G10" s="39" t="s">
        <v>2321</v>
      </c>
      <c r="H10" s="39" t="s">
        <v>2321</v>
      </c>
      <c r="N10" s="39" t="s">
        <v>81</v>
      </c>
      <c r="O10" s="39" t="s">
        <v>68</v>
      </c>
      <c r="Q10" s="39">
        <v>1.0</v>
      </c>
      <c r="R10" s="39">
        <v>0.0</v>
      </c>
      <c r="S10" s="39">
        <v>0.0</v>
      </c>
      <c r="T10" s="39">
        <v>0.0</v>
      </c>
      <c r="X10" s="39">
        <v>1.0</v>
      </c>
      <c r="Y10" s="39">
        <v>0.0</v>
      </c>
      <c r="Z10" s="39" t="s">
        <v>2311</v>
      </c>
      <c r="AA10" s="30" t="s">
        <v>115</v>
      </c>
      <c r="AE10" s="39">
        <v>1.0</v>
      </c>
    </row>
    <row r="11">
      <c r="A11" s="39" t="s">
        <v>2322</v>
      </c>
      <c r="B11" s="40" t="str">
        <f t="shared" si="1"/>
        <v>TGR-2</v>
      </c>
      <c r="C11" s="40" t="s">
        <v>2295</v>
      </c>
      <c r="D11" s="39" t="s">
        <v>2275</v>
      </c>
      <c r="E11" s="39" t="s">
        <v>2310</v>
      </c>
      <c r="F11" s="39" t="s">
        <v>64</v>
      </c>
      <c r="G11" s="39" t="s">
        <v>2323</v>
      </c>
      <c r="H11" s="39" t="s">
        <v>2323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X11" s="39">
        <v>0.0</v>
      </c>
      <c r="Y11" s="39">
        <v>0.0</v>
      </c>
      <c r="AE11" s="39">
        <v>1.0</v>
      </c>
    </row>
    <row r="12">
      <c r="A12" s="39" t="s">
        <v>2301</v>
      </c>
      <c r="B12" s="40" t="str">
        <f t="shared" si="1"/>
        <v>TGR-1</v>
      </c>
      <c r="C12" s="40" t="s">
        <v>2302</v>
      </c>
      <c r="D12" s="39" t="s">
        <v>2275</v>
      </c>
      <c r="E12" s="39" t="s">
        <v>2310</v>
      </c>
      <c r="F12" s="39" t="s">
        <v>64</v>
      </c>
      <c r="G12" s="39" t="s">
        <v>2324</v>
      </c>
      <c r="H12" s="39" t="s">
        <v>2324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X12" s="39">
        <v>0.0</v>
      </c>
      <c r="Y12" s="39">
        <v>0.0</v>
      </c>
      <c r="AE12" s="39">
        <v>1.0</v>
      </c>
    </row>
    <row r="13">
      <c r="A13" s="39" t="s">
        <v>2325</v>
      </c>
      <c r="B13" s="40" t="str">
        <f t="shared" si="1"/>
        <v>TGR-I</v>
      </c>
      <c r="C13" s="40" t="s">
        <v>2326</v>
      </c>
      <c r="D13" s="39" t="s">
        <v>2275</v>
      </c>
      <c r="E13" s="39" t="s">
        <v>2310</v>
      </c>
      <c r="F13" s="39" t="s">
        <v>64</v>
      </c>
      <c r="G13" s="39" t="s">
        <v>2327</v>
      </c>
      <c r="H13" s="39" t="s">
        <v>2327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X13" s="39">
        <v>0.0</v>
      </c>
      <c r="Y13" s="39">
        <v>0.0</v>
      </c>
      <c r="AE13" s="39">
        <v>1.0</v>
      </c>
    </row>
    <row r="14">
      <c r="A14" s="39" t="s">
        <v>2328</v>
      </c>
      <c r="B14" s="40" t="str">
        <f t="shared" si="1"/>
        <v>IGP</v>
      </c>
      <c r="C14" s="39" t="s">
        <v>2329</v>
      </c>
      <c r="D14" s="39" t="s">
        <v>2275</v>
      </c>
      <c r="E14" s="39" t="s">
        <v>2310</v>
      </c>
      <c r="F14" s="39" t="s">
        <v>64</v>
      </c>
      <c r="G14" s="39" t="s">
        <v>2330</v>
      </c>
      <c r="H14" s="39" t="s">
        <v>2330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X14" s="39">
        <v>3.0</v>
      </c>
      <c r="Y14" s="39">
        <v>2.0</v>
      </c>
      <c r="Z14" s="39" t="s">
        <v>2331</v>
      </c>
      <c r="AA14" s="30" t="s">
        <v>650</v>
      </c>
      <c r="AE14" s="39">
        <v>1.0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2332</v>
      </c>
      <c r="B2" s="39" t="str">
        <f t="shared" ref="B2:B15" si="1">LEFT(A2,FIND(" ",A2) - 1)</f>
        <v>IGP</v>
      </c>
      <c r="C2" s="39" t="s">
        <v>2329</v>
      </c>
      <c r="D2" s="39" t="s">
        <v>2333</v>
      </c>
      <c r="E2" s="39" t="s">
        <v>1684</v>
      </c>
      <c r="F2" s="39" t="s">
        <v>397</v>
      </c>
      <c r="G2" s="39" t="s">
        <v>65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1.0</v>
      </c>
      <c r="Z2" s="39" t="s">
        <v>2334</v>
      </c>
      <c r="AA2" s="30" t="s">
        <v>97</v>
      </c>
      <c r="AE2" s="39">
        <v>1.0</v>
      </c>
    </row>
    <row r="3">
      <c r="A3" s="39" t="s">
        <v>2335</v>
      </c>
      <c r="B3" s="39" t="str">
        <f t="shared" si="1"/>
        <v>IGP</v>
      </c>
      <c r="C3" s="39" t="s">
        <v>2329</v>
      </c>
      <c r="D3" s="39" t="s">
        <v>2333</v>
      </c>
      <c r="E3" s="39" t="s">
        <v>1684</v>
      </c>
      <c r="F3" s="39" t="s">
        <v>397</v>
      </c>
      <c r="G3" s="39" t="s">
        <v>72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0.0</v>
      </c>
      <c r="Y3" s="39">
        <v>0.0</v>
      </c>
      <c r="AE3" s="39">
        <v>1.0</v>
      </c>
    </row>
    <row r="4">
      <c r="A4" s="39" t="s">
        <v>2336</v>
      </c>
      <c r="B4" s="39" t="str">
        <f t="shared" si="1"/>
        <v>IGP</v>
      </c>
      <c r="C4" s="39" t="s">
        <v>2329</v>
      </c>
      <c r="D4" s="39" t="s">
        <v>2333</v>
      </c>
      <c r="E4" s="39" t="s">
        <v>1684</v>
      </c>
      <c r="F4" s="39" t="s">
        <v>397</v>
      </c>
      <c r="G4" s="39" t="s">
        <v>2337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0.0</v>
      </c>
      <c r="Y4" s="39">
        <v>1.0</v>
      </c>
      <c r="Z4" s="39" t="s">
        <v>2334</v>
      </c>
      <c r="AA4" s="30" t="s">
        <v>97</v>
      </c>
      <c r="AE4" s="39">
        <v>1.0</v>
      </c>
    </row>
    <row r="5">
      <c r="A5" s="39" t="s">
        <v>2338</v>
      </c>
      <c r="B5" s="39" t="str">
        <f t="shared" si="1"/>
        <v>IGP</v>
      </c>
      <c r="C5" s="39" t="s">
        <v>2329</v>
      </c>
      <c r="D5" s="39" t="s">
        <v>2333</v>
      </c>
      <c r="E5" s="39" t="s">
        <v>1684</v>
      </c>
      <c r="F5" s="39" t="s">
        <v>397</v>
      </c>
      <c r="G5" s="39" t="s">
        <v>2339</v>
      </c>
      <c r="H5" s="39" t="s">
        <v>2339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E5" s="39">
        <v>1.0</v>
      </c>
    </row>
    <row r="6">
      <c r="A6" s="39" t="s">
        <v>2340</v>
      </c>
      <c r="B6" s="39" t="str">
        <f t="shared" si="1"/>
        <v>TGR-1</v>
      </c>
      <c r="C6" s="39" t="s">
        <v>2302</v>
      </c>
      <c r="D6" s="39" t="s">
        <v>2333</v>
      </c>
      <c r="E6" s="39" t="s">
        <v>1684</v>
      </c>
      <c r="F6" s="39" t="s">
        <v>397</v>
      </c>
      <c r="G6" s="39" t="s">
        <v>2341</v>
      </c>
      <c r="H6" s="39" t="s">
        <v>2341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1.0</v>
      </c>
      <c r="W6" s="39">
        <v>0.0</v>
      </c>
      <c r="X6" s="39">
        <v>0.0</v>
      </c>
      <c r="Y6" s="39">
        <v>1.0</v>
      </c>
      <c r="Z6" s="39" t="s">
        <v>2334</v>
      </c>
      <c r="AA6" s="30" t="s">
        <v>97</v>
      </c>
      <c r="AE6" s="39">
        <v>1.0</v>
      </c>
    </row>
    <row r="7">
      <c r="A7" s="39" t="s">
        <v>2342</v>
      </c>
      <c r="B7" s="39" t="str">
        <f t="shared" si="1"/>
        <v>TGR-1</v>
      </c>
      <c r="C7" s="39" t="s">
        <v>2302</v>
      </c>
      <c r="D7" s="39" t="s">
        <v>2333</v>
      </c>
      <c r="E7" s="39" t="s">
        <v>1684</v>
      </c>
      <c r="F7" s="39" t="s">
        <v>397</v>
      </c>
      <c r="G7" s="39" t="s">
        <v>2343</v>
      </c>
      <c r="H7" s="39" t="s">
        <v>2343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E7" s="39">
        <v>1.0</v>
      </c>
    </row>
    <row r="8">
      <c r="A8" s="39" t="s">
        <v>2294</v>
      </c>
      <c r="B8" s="40" t="str">
        <f t="shared" si="1"/>
        <v>TGR-2</v>
      </c>
      <c r="C8" s="39" t="s">
        <v>2295</v>
      </c>
      <c r="D8" s="39" t="s">
        <v>2333</v>
      </c>
      <c r="E8" s="39" t="s">
        <v>1684</v>
      </c>
      <c r="F8" s="39" t="s">
        <v>397</v>
      </c>
      <c r="G8" s="39" t="s">
        <v>2344</v>
      </c>
      <c r="H8" s="39" t="s">
        <v>2344</v>
      </c>
      <c r="L8" s="39" t="s">
        <v>2126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E8" s="39">
        <v>1.0</v>
      </c>
    </row>
    <row r="9">
      <c r="A9" s="39" t="s">
        <v>2345</v>
      </c>
      <c r="B9" s="40" t="str">
        <f t="shared" si="1"/>
        <v>TGR-2</v>
      </c>
      <c r="C9" s="39" t="s">
        <v>2295</v>
      </c>
      <c r="D9" s="39" t="s">
        <v>2333</v>
      </c>
      <c r="E9" s="39" t="s">
        <v>1684</v>
      </c>
      <c r="F9" s="39" t="s">
        <v>397</v>
      </c>
      <c r="G9" s="39" t="s">
        <v>2346</v>
      </c>
      <c r="H9" s="39" t="s">
        <v>2346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1.0</v>
      </c>
      <c r="W9" s="39">
        <v>0.0</v>
      </c>
      <c r="X9" s="39">
        <v>0.0</v>
      </c>
      <c r="Y9" s="39">
        <v>1.0</v>
      </c>
      <c r="Z9" s="39" t="s">
        <v>2334</v>
      </c>
      <c r="AA9" s="30" t="s">
        <v>97</v>
      </c>
      <c r="AE9" s="39">
        <v>1.0</v>
      </c>
    </row>
    <row r="10">
      <c r="A10" s="39" t="s">
        <v>2347</v>
      </c>
      <c r="B10" s="40" t="str">
        <f t="shared" si="1"/>
        <v>TGR-2</v>
      </c>
      <c r="C10" s="39" t="s">
        <v>2295</v>
      </c>
      <c r="D10" s="39" t="s">
        <v>2333</v>
      </c>
      <c r="E10" s="39" t="s">
        <v>1684</v>
      </c>
      <c r="F10" s="39" t="s">
        <v>397</v>
      </c>
      <c r="G10" s="39" t="s">
        <v>2348</v>
      </c>
      <c r="H10" s="39" t="s">
        <v>2348</v>
      </c>
      <c r="N10" s="39" t="s">
        <v>81</v>
      </c>
      <c r="O10" s="39" t="s">
        <v>68</v>
      </c>
      <c r="Q10" s="39">
        <v>1.0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E10" s="39">
        <v>1.0</v>
      </c>
    </row>
    <row r="11">
      <c r="A11" s="39" t="s">
        <v>2287</v>
      </c>
      <c r="B11" s="40" t="str">
        <f t="shared" si="1"/>
        <v>TGR-3</v>
      </c>
      <c r="C11" s="39" t="s">
        <v>2288</v>
      </c>
      <c r="D11" s="39" t="s">
        <v>2333</v>
      </c>
      <c r="E11" s="39" t="s">
        <v>1684</v>
      </c>
      <c r="F11" s="39" t="s">
        <v>397</v>
      </c>
      <c r="G11" s="39" t="s">
        <v>2349</v>
      </c>
      <c r="H11" s="39" t="s">
        <v>2349</v>
      </c>
      <c r="L11" s="39" t="s">
        <v>2126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E11" s="39">
        <v>1.0</v>
      </c>
    </row>
    <row r="12">
      <c r="A12" s="39" t="s">
        <v>2350</v>
      </c>
      <c r="B12" s="40" t="str">
        <f t="shared" si="1"/>
        <v>TGR-3</v>
      </c>
      <c r="C12" s="39" t="s">
        <v>2288</v>
      </c>
      <c r="D12" s="39" t="s">
        <v>2333</v>
      </c>
      <c r="E12" s="39" t="s">
        <v>1684</v>
      </c>
      <c r="F12" s="39" t="s">
        <v>397</v>
      </c>
      <c r="G12" s="39" t="s">
        <v>2351</v>
      </c>
      <c r="H12" s="39" t="s">
        <v>2351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1.0</v>
      </c>
      <c r="W12" s="39">
        <v>0.0</v>
      </c>
      <c r="X12" s="39">
        <v>0.0</v>
      </c>
      <c r="Y12" s="39">
        <v>1.0</v>
      </c>
      <c r="Z12" s="39" t="s">
        <v>2334</v>
      </c>
      <c r="AA12" s="30" t="s">
        <v>97</v>
      </c>
      <c r="AE12" s="39">
        <v>1.0</v>
      </c>
    </row>
    <row r="13">
      <c r="A13" s="39" t="s">
        <v>2352</v>
      </c>
      <c r="B13" s="40" t="str">
        <f t="shared" si="1"/>
        <v>TGR-3</v>
      </c>
      <c r="C13" s="39" t="s">
        <v>2288</v>
      </c>
      <c r="D13" s="39" t="s">
        <v>2333</v>
      </c>
      <c r="E13" s="39" t="s">
        <v>1684</v>
      </c>
      <c r="F13" s="39" t="s">
        <v>397</v>
      </c>
      <c r="G13" s="39" t="s">
        <v>2353</v>
      </c>
      <c r="H13" s="39" t="s">
        <v>2353</v>
      </c>
      <c r="N13" s="39" t="s">
        <v>81</v>
      </c>
      <c r="O13" s="39" t="s">
        <v>68</v>
      </c>
      <c r="Q13" s="39">
        <v>1.0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E13" s="39">
        <v>1.0</v>
      </c>
    </row>
    <row r="14">
      <c r="A14" s="39" t="s">
        <v>2354</v>
      </c>
      <c r="B14" s="40" t="str">
        <f t="shared" si="1"/>
        <v>KSRA</v>
      </c>
      <c r="C14" s="39" t="s">
        <v>2228</v>
      </c>
      <c r="D14" s="39" t="s">
        <v>2333</v>
      </c>
      <c r="E14" s="39" t="s">
        <v>1684</v>
      </c>
      <c r="F14" s="39" t="s">
        <v>397</v>
      </c>
      <c r="G14" s="39" t="s">
        <v>2355</v>
      </c>
      <c r="H14" s="39" t="s">
        <v>2355</v>
      </c>
      <c r="L14" s="39" t="s">
        <v>2126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E14" s="39">
        <v>1.0</v>
      </c>
    </row>
    <row r="15">
      <c r="A15" s="39" t="s">
        <v>2356</v>
      </c>
      <c r="B15" s="40" t="str">
        <f t="shared" si="1"/>
        <v>KSRA</v>
      </c>
      <c r="C15" s="39" t="s">
        <v>2228</v>
      </c>
      <c r="D15" s="39" t="s">
        <v>2333</v>
      </c>
      <c r="E15" s="39" t="s">
        <v>1684</v>
      </c>
      <c r="F15" s="39" t="s">
        <v>397</v>
      </c>
      <c r="G15" s="39" t="s">
        <v>2357</v>
      </c>
      <c r="H15" s="39" t="s">
        <v>2357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1.0</v>
      </c>
      <c r="W15" s="39">
        <v>0.0</v>
      </c>
      <c r="X15" s="39">
        <v>1.0</v>
      </c>
      <c r="Y15" s="39">
        <v>1.0</v>
      </c>
      <c r="Z15" s="39" t="s">
        <v>2358</v>
      </c>
      <c r="AA15" s="30" t="s">
        <v>70</v>
      </c>
      <c r="AE15" s="39">
        <v>1.0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2332</v>
      </c>
      <c r="B2" s="39" t="str">
        <f t="shared" ref="B2:B15" si="1">LEFT(A2,FIND(" ",A2) - 1)</f>
        <v>IGP</v>
      </c>
      <c r="C2" s="39" t="s">
        <v>2329</v>
      </c>
      <c r="D2" s="39" t="s">
        <v>2333</v>
      </c>
      <c r="E2" s="39" t="s">
        <v>2359</v>
      </c>
      <c r="F2" s="39" t="s">
        <v>397</v>
      </c>
      <c r="G2" s="39" t="s">
        <v>65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1.0</v>
      </c>
      <c r="Z2" s="39" t="s">
        <v>2334</v>
      </c>
      <c r="AA2" s="30" t="s">
        <v>97</v>
      </c>
      <c r="AE2" s="39">
        <v>1.0</v>
      </c>
    </row>
    <row r="3">
      <c r="A3" s="39" t="s">
        <v>2335</v>
      </c>
      <c r="B3" s="39" t="str">
        <f t="shared" si="1"/>
        <v>IGP</v>
      </c>
      <c r="C3" s="39" t="s">
        <v>2329</v>
      </c>
      <c r="D3" s="39" t="s">
        <v>2333</v>
      </c>
      <c r="E3" s="39" t="s">
        <v>2359</v>
      </c>
      <c r="F3" s="39" t="s">
        <v>397</v>
      </c>
      <c r="G3" s="39" t="s">
        <v>72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0.0</v>
      </c>
      <c r="Y3" s="39">
        <v>0.0</v>
      </c>
      <c r="AE3" s="39">
        <v>1.0</v>
      </c>
    </row>
    <row r="4">
      <c r="A4" s="39" t="s">
        <v>2336</v>
      </c>
      <c r="B4" s="39" t="str">
        <f t="shared" si="1"/>
        <v>IGP</v>
      </c>
      <c r="C4" s="39" t="s">
        <v>2329</v>
      </c>
      <c r="D4" s="39" t="s">
        <v>2333</v>
      </c>
      <c r="E4" s="39" t="s">
        <v>2359</v>
      </c>
      <c r="F4" s="39" t="s">
        <v>397</v>
      </c>
      <c r="G4" s="39" t="s">
        <v>2337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0.0</v>
      </c>
      <c r="Y4" s="39">
        <v>1.0</v>
      </c>
      <c r="Z4" s="39" t="s">
        <v>2334</v>
      </c>
      <c r="AA4" s="30" t="s">
        <v>97</v>
      </c>
      <c r="AE4" s="39">
        <v>1.0</v>
      </c>
    </row>
    <row r="5">
      <c r="A5" s="39" t="s">
        <v>2360</v>
      </c>
      <c r="B5" s="39" t="str">
        <f t="shared" si="1"/>
        <v>IGP</v>
      </c>
      <c r="C5" s="39" t="s">
        <v>2329</v>
      </c>
      <c r="D5" s="39" t="s">
        <v>2333</v>
      </c>
      <c r="E5" s="39" t="s">
        <v>2359</v>
      </c>
      <c r="F5" s="39" t="s">
        <v>397</v>
      </c>
      <c r="G5" s="39" t="s">
        <v>2361</v>
      </c>
      <c r="H5" s="39" t="s">
        <v>2361</v>
      </c>
      <c r="N5" s="39" t="s">
        <v>81</v>
      </c>
      <c r="O5" s="39" t="s">
        <v>68</v>
      </c>
      <c r="Q5" s="39">
        <v>1.0</v>
      </c>
      <c r="R5" s="39">
        <v>0.0</v>
      </c>
      <c r="S5" s="39">
        <v>0.0</v>
      </c>
      <c r="T5" s="39">
        <v>0.0</v>
      </c>
      <c r="X5" s="39">
        <v>0.0</v>
      </c>
      <c r="Y5" s="39">
        <v>0.0</v>
      </c>
      <c r="AE5" s="39">
        <v>1.0</v>
      </c>
    </row>
    <row r="6">
      <c r="A6" s="39" t="s">
        <v>2362</v>
      </c>
      <c r="B6" s="39" t="str">
        <f t="shared" si="1"/>
        <v>TGR-1</v>
      </c>
      <c r="C6" s="39" t="s">
        <v>2302</v>
      </c>
      <c r="D6" s="39" t="s">
        <v>2333</v>
      </c>
      <c r="E6" s="39" t="s">
        <v>2359</v>
      </c>
      <c r="F6" s="39" t="s">
        <v>397</v>
      </c>
      <c r="G6" s="39" t="s">
        <v>2363</v>
      </c>
      <c r="H6" s="39" t="s">
        <v>2363</v>
      </c>
      <c r="N6" s="39" t="s">
        <v>81</v>
      </c>
      <c r="O6" s="39" t="s">
        <v>68</v>
      </c>
      <c r="Q6" s="39">
        <v>1.0</v>
      </c>
      <c r="R6" s="39">
        <v>0.0</v>
      </c>
      <c r="S6" s="39">
        <v>0.0</v>
      </c>
      <c r="T6" s="39">
        <v>0.0</v>
      </c>
      <c r="X6" s="39">
        <v>1.0</v>
      </c>
      <c r="Y6" s="39">
        <v>0.0</v>
      </c>
      <c r="Z6" s="39" t="s">
        <v>2364</v>
      </c>
      <c r="AA6" s="30" t="s">
        <v>115</v>
      </c>
      <c r="AE6" s="39">
        <v>1.0</v>
      </c>
    </row>
    <row r="7">
      <c r="A7" s="39" t="s">
        <v>2365</v>
      </c>
      <c r="B7" s="40" t="str">
        <f t="shared" si="1"/>
        <v>TGR-1</v>
      </c>
      <c r="C7" s="39" t="s">
        <v>2302</v>
      </c>
      <c r="D7" s="39" t="s">
        <v>2333</v>
      </c>
      <c r="E7" s="39" t="s">
        <v>2359</v>
      </c>
      <c r="F7" s="39" t="s">
        <v>397</v>
      </c>
      <c r="G7" s="39" t="s">
        <v>2366</v>
      </c>
      <c r="H7" s="39" t="s">
        <v>2366</v>
      </c>
      <c r="N7" s="39" t="s">
        <v>81</v>
      </c>
      <c r="O7" s="39" t="s">
        <v>68</v>
      </c>
      <c r="Q7" s="39">
        <v>1.0</v>
      </c>
      <c r="R7" s="39">
        <v>0.0</v>
      </c>
      <c r="S7" s="39">
        <v>0.0</v>
      </c>
      <c r="T7" s="39">
        <v>0.0</v>
      </c>
      <c r="X7" s="39">
        <v>0.0</v>
      </c>
      <c r="Y7" s="39">
        <v>0.0</v>
      </c>
      <c r="AE7" s="39">
        <v>1.0</v>
      </c>
    </row>
    <row r="8">
      <c r="A8" s="39" t="s">
        <v>2294</v>
      </c>
      <c r="B8" s="40" t="str">
        <f t="shared" si="1"/>
        <v>TGR-2</v>
      </c>
      <c r="C8" s="39" t="s">
        <v>2295</v>
      </c>
      <c r="D8" s="39" t="s">
        <v>2333</v>
      </c>
      <c r="E8" s="39" t="s">
        <v>2359</v>
      </c>
      <c r="F8" s="39" t="s">
        <v>397</v>
      </c>
      <c r="G8" s="39" t="s">
        <v>2367</v>
      </c>
      <c r="H8" s="39" t="s">
        <v>2367</v>
      </c>
      <c r="L8" s="39" t="s">
        <v>2126</v>
      </c>
      <c r="N8" s="39" t="s">
        <v>81</v>
      </c>
      <c r="O8" s="39" t="s">
        <v>68</v>
      </c>
      <c r="Q8" s="39">
        <v>1.0</v>
      </c>
      <c r="R8" s="39">
        <v>0.0</v>
      </c>
      <c r="S8" s="39">
        <v>0.0</v>
      </c>
      <c r="T8" s="39">
        <v>0.0</v>
      </c>
      <c r="X8" s="39">
        <v>0.0</v>
      </c>
      <c r="Y8" s="39">
        <v>0.0</v>
      </c>
      <c r="AE8" s="39">
        <v>1.0</v>
      </c>
    </row>
    <row r="9">
      <c r="A9" s="39" t="s">
        <v>2368</v>
      </c>
      <c r="B9" s="40" t="str">
        <f t="shared" si="1"/>
        <v>TGR-2</v>
      </c>
      <c r="C9" s="39" t="s">
        <v>2295</v>
      </c>
      <c r="D9" s="39" t="s">
        <v>2333</v>
      </c>
      <c r="E9" s="39" t="s">
        <v>2359</v>
      </c>
      <c r="F9" s="39" t="s">
        <v>397</v>
      </c>
      <c r="G9" s="39" t="s">
        <v>2369</v>
      </c>
      <c r="H9" s="39" t="s">
        <v>2369</v>
      </c>
      <c r="N9" s="39" t="s">
        <v>81</v>
      </c>
      <c r="O9" s="39" t="s">
        <v>68</v>
      </c>
      <c r="Q9" s="39">
        <v>1.0</v>
      </c>
      <c r="R9" s="39">
        <v>0.0</v>
      </c>
      <c r="S9" s="39">
        <v>0.0</v>
      </c>
      <c r="T9" s="39">
        <v>0.0</v>
      </c>
      <c r="X9" s="39">
        <v>1.0</v>
      </c>
      <c r="Y9" s="39">
        <v>0.0</v>
      </c>
      <c r="Z9" s="39" t="s">
        <v>2364</v>
      </c>
      <c r="AA9" s="30" t="s">
        <v>115</v>
      </c>
      <c r="AE9" s="39">
        <v>1.0</v>
      </c>
    </row>
    <row r="10">
      <c r="A10" s="39" t="s">
        <v>2370</v>
      </c>
      <c r="B10" s="40" t="str">
        <f t="shared" si="1"/>
        <v>TGR-2</v>
      </c>
      <c r="C10" s="39" t="s">
        <v>2295</v>
      </c>
      <c r="D10" s="39" t="s">
        <v>2333</v>
      </c>
      <c r="E10" s="39" t="s">
        <v>2359</v>
      </c>
      <c r="F10" s="39" t="s">
        <v>397</v>
      </c>
      <c r="G10" s="39" t="s">
        <v>2371</v>
      </c>
      <c r="H10" s="39" t="s">
        <v>2371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X10" s="39">
        <v>0.0</v>
      </c>
      <c r="Y10" s="39">
        <v>0.0</v>
      </c>
      <c r="AE10" s="39">
        <v>1.0</v>
      </c>
    </row>
    <row r="11">
      <c r="A11" s="39" t="s">
        <v>2287</v>
      </c>
      <c r="B11" s="40" t="str">
        <f t="shared" si="1"/>
        <v>TGR-3</v>
      </c>
      <c r="C11" s="39" t="s">
        <v>2288</v>
      </c>
      <c r="D11" s="39" t="s">
        <v>2333</v>
      </c>
      <c r="E11" s="39" t="s">
        <v>2359</v>
      </c>
      <c r="F11" s="39" t="s">
        <v>397</v>
      </c>
      <c r="G11" s="39" t="s">
        <v>2372</v>
      </c>
      <c r="H11" s="39" t="s">
        <v>2372</v>
      </c>
      <c r="L11" s="39" t="s">
        <v>2126</v>
      </c>
      <c r="N11" s="39" t="s">
        <v>119</v>
      </c>
      <c r="O11" s="39" t="s">
        <v>68</v>
      </c>
      <c r="Q11" s="39">
        <v>0.0</v>
      </c>
      <c r="R11" s="39">
        <v>1.0</v>
      </c>
      <c r="S11" s="39">
        <v>0.0</v>
      </c>
      <c r="T11" s="39">
        <v>0.0</v>
      </c>
      <c r="X11" s="39">
        <v>0.0</v>
      </c>
      <c r="Y11" s="39">
        <v>0.0</v>
      </c>
      <c r="AE11" s="39">
        <v>1.0</v>
      </c>
    </row>
    <row r="12">
      <c r="A12" s="39" t="s">
        <v>2373</v>
      </c>
      <c r="B12" s="40" t="str">
        <f t="shared" si="1"/>
        <v>TGR-3</v>
      </c>
      <c r="C12" s="39" t="s">
        <v>2288</v>
      </c>
      <c r="D12" s="39" t="s">
        <v>2333</v>
      </c>
      <c r="E12" s="39" t="s">
        <v>2359</v>
      </c>
      <c r="F12" s="39" t="s">
        <v>397</v>
      </c>
      <c r="G12" s="39" t="s">
        <v>2374</v>
      </c>
      <c r="H12" s="39" t="s">
        <v>2374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X12" s="39">
        <v>1.0</v>
      </c>
      <c r="Y12" s="39">
        <v>0.0</v>
      </c>
      <c r="Z12" s="39" t="s">
        <v>2364</v>
      </c>
      <c r="AA12" s="30" t="s">
        <v>115</v>
      </c>
      <c r="AE12" s="39">
        <v>1.0</v>
      </c>
    </row>
    <row r="13">
      <c r="A13" s="39" t="s">
        <v>2375</v>
      </c>
      <c r="B13" s="40" t="str">
        <f t="shared" si="1"/>
        <v>TGR-3</v>
      </c>
      <c r="C13" s="39" t="s">
        <v>2288</v>
      </c>
      <c r="D13" s="39" t="s">
        <v>2333</v>
      </c>
      <c r="E13" s="39" t="s">
        <v>2359</v>
      </c>
      <c r="F13" s="39" t="s">
        <v>397</v>
      </c>
      <c r="G13" s="39" t="s">
        <v>2376</v>
      </c>
      <c r="H13" s="39" t="s">
        <v>2376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X13" s="39">
        <v>0.0</v>
      </c>
      <c r="Y13" s="39">
        <v>0.0</v>
      </c>
      <c r="AE13" s="39">
        <v>1.0</v>
      </c>
    </row>
    <row r="14">
      <c r="A14" s="39" t="s">
        <v>2354</v>
      </c>
      <c r="B14" s="40" t="str">
        <f t="shared" si="1"/>
        <v>KSRA</v>
      </c>
      <c r="C14" s="39" t="s">
        <v>2228</v>
      </c>
      <c r="D14" s="39" t="s">
        <v>2333</v>
      </c>
      <c r="E14" s="39" t="s">
        <v>2359</v>
      </c>
      <c r="F14" s="39" t="s">
        <v>397</v>
      </c>
      <c r="G14" s="39" t="s">
        <v>2377</v>
      </c>
      <c r="H14" s="39" t="s">
        <v>2377</v>
      </c>
      <c r="L14" s="39" t="s">
        <v>2126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X14" s="39">
        <v>0.0</v>
      </c>
      <c r="Y14" s="39">
        <v>0.0</v>
      </c>
      <c r="AE14" s="39">
        <v>1.0</v>
      </c>
    </row>
    <row r="15">
      <c r="A15" s="39" t="s">
        <v>2378</v>
      </c>
      <c r="B15" s="40" t="str">
        <f t="shared" si="1"/>
        <v>KSRA</v>
      </c>
      <c r="C15" s="39" t="s">
        <v>2228</v>
      </c>
      <c r="D15" s="39" t="s">
        <v>2333</v>
      </c>
      <c r="E15" s="39" t="s">
        <v>2359</v>
      </c>
      <c r="F15" s="39" t="s">
        <v>397</v>
      </c>
      <c r="G15" s="39" t="s">
        <v>2379</v>
      </c>
      <c r="H15" s="39" t="s">
        <v>2379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X15" s="39">
        <v>2.0</v>
      </c>
      <c r="Y15" s="39">
        <v>1.0</v>
      </c>
      <c r="Z15" s="39" t="s">
        <v>2380</v>
      </c>
      <c r="AA15" s="30" t="s">
        <v>1703</v>
      </c>
      <c r="AE15" s="39">
        <v>1.0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2381</v>
      </c>
      <c r="B2" s="39" t="s">
        <v>2227</v>
      </c>
      <c r="C2" s="39" t="s">
        <v>2228</v>
      </c>
      <c r="D2" s="39" t="s">
        <v>2382</v>
      </c>
      <c r="E2" s="39" t="s">
        <v>7</v>
      </c>
      <c r="F2" s="39" t="s">
        <v>397</v>
      </c>
      <c r="G2" s="39" t="s">
        <v>662</v>
      </c>
      <c r="I2" s="70"/>
      <c r="L2" s="39" t="s">
        <v>1685</v>
      </c>
      <c r="M2" s="39" t="s">
        <v>2143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0.0</v>
      </c>
      <c r="AC2" s="39">
        <v>250.0</v>
      </c>
      <c r="AE2" s="39">
        <v>1.0</v>
      </c>
    </row>
    <row r="3">
      <c r="A3" s="39" t="s">
        <v>2383</v>
      </c>
      <c r="B3" s="39" t="s">
        <v>2227</v>
      </c>
      <c r="C3" s="39" t="s">
        <v>2228</v>
      </c>
      <c r="D3" s="39" t="s">
        <v>2382</v>
      </c>
      <c r="E3" s="39" t="s">
        <v>7</v>
      </c>
      <c r="F3" s="39" t="s">
        <v>397</v>
      </c>
      <c r="G3" s="39" t="s">
        <v>65</v>
      </c>
      <c r="I3" s="70"/>
      <c r="L3" s="39" t="s">
        <v>1685</v>
      </c>
      <c r="M3" s="39" t="s">
        <v>2143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0.0</v>
      </c>
      <c r="Y3" s="39">
        <v>1.0</v>
      </c>
      <c r="Z3" s="39" t="s">
        <v>2384</v>
      </c>
      <c r="AA3" s="30" t="s">
        <v>97</v>
      </c>
      <c r="AC3" s="39">
        <v>250.0</v>
      </c>
      <c r="AE3" s="39">
        <v>1.0</v>
      </c>
    </row>
    <row r="4">
      <c r="A4" s="39" t="s">
        <v>2385</v>
      </c>
      <c r="B4" s="39" t="s">
        <v>2227</v>
      </c>
      <c r="C4" s="39" t="s">
        <v>2228</v>
      </c>
      <c r="D4" s="39" t="s">
        <v>2382</v>
      </c>
      <c r="E4" s="39" t="s">
        <v>7</v>
      </c>
      <c r="F4" s="39" t="s">
        <v>397</v>
      </c>
      <c r="G4" s="39" t="s">
        <v>72</v>
      </c>
      <c r="I4" s="70">
        <v>120.666</v>
      </c>
      <c r="L4" s="39" t="s">
        <v>1685</v>
      </c>
      <c r="M4" s="39" t="s">
        <v>2143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0.0</v>
      </c>
      <c r="Y4" s="39">
        <v>0.0</v>
      </c>
      <c r="AC4" s="39">
        <v>250.0</v>
      </c>
      <c r="AE4" s="39">
        <v>1.0</v>
      </c>
    </row>
    <row r="5">
      <c r="A5" s="39" t="s">
        <v>2386</v>
      </c>
      <c r="B5" s="39" t="s">
        <v>2227</v>
      </c>
      <c r="C5" s="39" t="s">
        <v>2228</v>
      </c>
      <c r="D5" s="39" t="s">
        <v>2382</v>
      </c>
      <c r="E5" s="39" t="s">
        <v>7</v>
      </c>
      <c r="F5" s="39" t="s">
        <v>397</v>
      </c>
      <c r="G5" s="39" t="s">
        <v>2387</v>
      </c>
      <c r="H5" s="39" t="s">
        <v>2387</v>
      </c>
      <c r="I5" s="70">
        <v>119.096</v>
      </c>
      <c r="L5" s="39" t="s">
        <v>1685</v>
      </c>
      <c r="M5" s="39" t="s">
        <v>2388</v>
      </c>
      <c r="N5" s="39" t="s">
        <v>67</v>
      </c>
      <c r="O5" s="39" t="s">
        <v>67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300.0</v>
      </c>
      <c r="AE5" s="39">
        <v>1.0</v>
      </c>
    </row>
    <row r="6">
      <c r="A6" s="39" t="s">
        <v>2147</v>
      </c>
      <c r="D6" s="39" t="s">
        <v>2382</v>
      </c>
      <c r="E6" s="39" t="s">
        <v>7</v>
      </c>
      <c r="F6" s="39" t="s">
        <v>397</v>
      </c>
      <c r="G6" s="39" t="s">
        <v>2389</v>
      </c>
      <c r="H6" s="39" t="s">
        <v>2389</v>
      </c>
      <c r="I6" s="70">
        <v>118.1</v>
      </c>
      <c r="L6" s="39" t="s">
        <v>1685</v>
      </c>
      <c r="M6" s="39" t="s">
        <v>2149</v>
      </c>
      <c r="N6" s="39" t="s">
        <v>67</v>
      </c>
      <c r="O6" s="39" t="s">
        <v>81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400.0</v>
      </c>
      <c r="AE6" s="39">
        <v>1.0</v>
      </c>
    </row>
    <row r="7">
      <c r="A7" s="39" t="s">
        <v>2390</v>
      </c>
      <c r="D7" s="39" t="s">
        <v>2382</v>
      </c>
      <c r="E7" s="39" t="s">
        <v>7</v>
      </c>
      <c r="F7" s="39" t="s">
        <v>397</v>
      </c>
      <c r="G7" s="39" t="s">
        <v>2391</v>
      </c>
      <c r="H7" s="39" t="s">
        <v>2391</v>
      </c>
      <c r="I7" s="70">
        <v>116.89</v>
      </c>
      <c r="L7" s="39" t="s">
        <v>2133</v>
      </c>
      <c r="M7" s="39" t="s">
        <v>2133</v>
      </c>
      <c r="N7" s="39" t="s">
        <v>67</v>
      </c>
      <c r="O7" s="39" t="s">
        <v>67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300.0</v>
      </c>
      <c r="AE7" s="39">
        <v>1.0</v>
      </c>
    </row>
    <row r="8">
      <c r="A8" s="39" t="s">
        <v>2392</v>
      </c>
      <c r="B8" s="39" t="s">
        <v>2218</v>
      </c>
      <c r="C8" s="39" t="s">
        <v>2219</v>
      </c>
      <c r="D8" s="39" t="s">
        <v>2382</v>
      </c>
      <c r="E8" s="39" t="s">
        <v>7</v>
      </c>
      <c r="F8" s="39" t="s">
        <v>397</v>
      </c>
      <c r="G8" s="39" t="s">
        <v>2393</v>
      </c>
      <c r="H8" s="39" t="s">
        <v>2393</v>
      </c>
      <c r="I8" s="70">
        <v>115.78</v>
      </c>
      <c r="L8" s="39" t="s">
        <v>1685</v>
      </c>
      <c r="M8" s="39" t="s">
        <v>2126</v>
      </c>
      <c r="N8" s="39" t="s">
        <v>67</v>
      </c>
      <c r="O8" s="39" t="s">
        <v>67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400.0</v>
      </c>
      <c r="AE8" s="39">
        <v>1.0</v>
      </c>
    </row>
    <row r="9">
      <c r="A9" s="39" t="s">
        <v>2394</v>
      </c>
      <c r="B9" s="39" t="s">
        <v>2218</v>
      </c>
      <c r="C9" s="39" t="s">
        <v>2219</v>
      </c>
      <c r="D9" s="39" t="s">
        <v>2382</v>
      </c>
      <c r="E9" s="39" t="s">
        <v>7</v>
      </c>
      <c r="F9" s="39" t="s">
        <v>397</v>
      </c>
      <c r="G9" s="39" t="s">
        <v>2395</v>
      </c>
      <c r="H9" s="39" t="s">
        <v>2395</v>
      </c>
      <c r="I9" s="70">
        <v>113.23</v>
      </c>
      <c r="L9" s="39" t="s">
        <v>1685</v>
      </c>
      <c r="M9" s="39" t="s">
        <v>2140</v>
      </c>
      <c r="N9" s="39" t="s">
        <v>119</v>
      </c>
      <c r="O9" s="39" t="s">
        <v>67</v>
      </c>
      <c r="Q9" s="39">
        <v>0.0</v>
      </c>
      <c r="R9" s="39">
        <v>1.0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250.0</v>
      </c>
      <c r="AE9" s="39">
        <v>1.0</v>
      </c>
    </row>
    <row r="10">
      <c r="A10" s="39" t="s">
        <v>2147</v>
      </c>
      <c r="D10" s="39" t="s">
        <v>2382</v>
      </c>
      <c r="E10" s="39" t="s">
        <v>7</v>
      </c>
      <c r="F10" s="39" t="s">
        <v>397</v>
      </c>
      <c r="G10" s="39" t="s">
        <v>2396</v>
      </c>
      <c r="H10" s="39" t="s">
        <v>2396</v>
      </c>
      <c r="I10" s="70">
        <v>112.15</v>
      </c>
      <c r="L10" s="39" t="s">
        <v>1685</v>
      </c>
      <c r="M10" s="39" t="s">
        <v>2149</v>
      </c>
      <c r="N10" s="39" t="s">
        <v>67</v>
      </c>
      <c r="O10" s="39" t="s">
        <v>81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500.0</v>
      </c>
      <c r="AE10" s="39">
        <v>1.0</v>
      </c>
    </row>
    <row r="11">
      <c r="A11" s="39" t="s">
        <v>2397</v>
      </c>
      <c r="D11" s="39" t="s">
        <v>2382</v>
      </c>
      <c r="E11" s="39" t="s">
        <v>7</v>
      </c>
      <c r="F11" s="39" t="s">
        <v>397</v>
      </c>
      <c r="G11" s="39" t="s">
        <v>2398</v>
      </c>
      <c r="H11" s="39" t="s">
        <v>2398</v>
      </c>
      <c r="I11" s="70">
        <v>109.96000000000001</v>
      </c>
      <c r="L11" s="39" t="s">
        <v>2133</v>
      </c>
      <c r="M11" s="39" t="s">
        <v>2133</v>
      </c>
      <c r="N11" s="39" t="s">
        <v>67</v>
      </c>
      <c r="O11" s="39" t="s">
        <v>67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400.0</v>
      </c>
      <c r="AE11" s="39">
        <v>1.0</v>
      </c>
    </row>
    <row r="12">
      <c r="A12" s="39" t="s">
        <v>2203</v>
      </c>
      <c r="B12" s="39" t="s">
        <v>2204</v>
      </c>
      <c r="C12" s="39" t="s">
        <v>2205</v>
      </c>
      <c r="D12" s="39" t="s">
        <v>2382</v>
      </c>
      <c r="E12" s="39" t="s">
        <v>7</v>
      </c>
      <c r="F12" s="39" t="s">
        <v>397</v>
      </c>
      <c r="G12" s="39" t="s">
        <v>2399</v>
      </c>
      <c r="H12" s="39" t="s">
        <v>2399</v>
      </c>
      <c r="I12" s="70">
        <v>108.95</v>
      </c>
      <c r="L12" s="39" t="s">
        <v>1685</v>
      </c>
      <c r="M12" s="39" t="s">
        <v>2126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500.0</v>
      </c>
      <c r="AE12" s="39">
        <v>1.0</v>
      </c>
    </row>
    <row r="13">
      <c r="A13" s="39" t="s">
        <v>2400</v>
      </c>
      <c r="B13" s="39" t="s">
        <v>2204</v>
      </c>
      <c r="C13" s="39" t="s">
        <v>2205</v>
      </c>
      <c r="D13" s="39" t="s">
        <v>2382</v>
      </c>
      <c r="E13" s="39" t="s">
        <v>7</v>
      </c>
      <c r="F13" s="39" t="s">
        <v>397</v>
      </c>
      <c r="G13" s="39" t="s">
        <v>2401</v>
      </c>
      <c r="H13" s="39" t="s">
        <v>2401</v>
      </c>
      <c r="I13" s="70">
        <v>107.78999999999999</v>
      </c>
      <c r="L13" s="39" t="s">
        <v>1685</v>
      </c>
      <c r="M13" s="39" t="s">
        <v>2140</v>
      </c>
      <c r="N13" s="39" t="s">
        <v>67</v>
      </c>
      <c r="O13" s="39" t="s">
        <v>81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1.0</v>
      </c>
      <c r="W13" s="39">
        <v>0.0</v>
      </c>
      <c r="X13" s="39">
        <v>1.0</v>
      </c>
      <c r="Y13" s="39">
        <v>0.0</v>
      </c>
      <c r="Z13" s="39" t="s">
        <v>2402</v>
      </c>
      <c r="AA13" s="30" t="s">
        <v>115</v>
      </c>
      <c r="AC13" s="39">
        <v>300.0</v>
      </c>
      <c r="AE13" s="39">
        <v>1.0</v>
      </c>
    </row>
    <row r="14">
      <c r="A14" s="39" t="s">
        <v>2403</v>
      </c>
      <c r="B14" s="39" t="s">
        <v>2204</v>
      </c>
      <c r="C14" s="39" t="s">
        <v>2205</v>
      </c>
      <c r="D14" s="39" t="s">
        <v>2382</v>
      </c>
      <c r="E14" s="39" t="s">
        <v>7</v>
      </c>
      <c r="F14" s="39" t="s">
        <v>397</v>
      </c>
      <c r="G14" s="39" t="s">
        <v>662</v>
      </c>
      <c r="I14" s="70">
        <v>107.32300000000001</v>
      </c>
      <c r="L14" s="39" t="s">
        <v>1685</v>
      </c>
      <c r="M14" s="39" t="s">
        <v>2143</v>
      </c>
      <c r="N14" s="39" t="s">
        <v>1914</v>
      </c>
      <c r="O14" s="39" t="s">
        <v>81</v>
      </c>
      <c r="Q14" s="39">
        <v>0.0</v>
      </c>
      <c r="R14" s="39">
        <v>0.0</v>
      </c>
      <c r="S14" s="39">
        <v>0.0</v>
      </c>
      <c r="T14" s="39">
        <v>1.0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225.0</v>
      </c>
      <c r="AE14" s="39">
        <v>1.0</v>
      </c>
    </row>
    <row r="15">
      <c r="A15" s="39" t="s">
        <v>2404</v>
      </c>
      <c r="B15" s="39" t="s">
        <v>2204</v>
      </c>
      <c r="C15" s="39" t="s">
        <v>2205</v>
      </c>
      <c r="D15" s="39" t="s">
        <v>2382</v>
      </c>
      <c r="E15" s="39" t="s">
        <v>7</v>
      </c>
      <c r="F15" s="39" t="s">
        <v>397</v>
      </c>
      <c r="G15" s="39" t="s">
        <v>2405</v>
      </c>
      <c r="H15" s="39" t="s">
        <v>2405</v>
      </c>
      <c r="I15" s="70">
        <v>106.083</v>
      </c>
      <c r="L15" s="39" t="s">
        <v>1685</v>
      </c>
      <c r="M15" s="39" t="s">
        <v>2388</v>
      </c>
      <c r="N15" s="39" t="s">
        <v>67</v>
      </c>
      <c r="O15" s="39" t="s">
        <v>67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400.0</v>
      </c>
      <c r="AE15" s="39">
        <v>1.0</v>
      </c>
    </row>
    <row r="16">
      <c r="A16" s="39" t="s">
        <v>2147</v>
      </c>
      <c r="D16" s="39" t="s">
        <v>2382</v>
      </c>
      <c r="E16" s="39" t="s">
        <v>7</v>
      </c>
      <c r="F16" s="39" t="s">
        <v>397</v>
      </c>
      <c r="G16" s="39" t="s">
        <v>2406</v>
      </c>
      <c r="H16" s="39" t="s">
        <v>2406</v>
      </c>
      <c r="I16" s="70">
        <v>105.003</v>
      </c>
      <c r="L16" s="39" t="s">
        <v>1685</v>
      </c>
      <c r="M16" s="39" t="s">
        <v>2149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475.0</v>
      </c>
      <c r="AE16" s="39">
        <v>1.0</v>
      </c>
    </row>
    <row r="17">
      <c r="A17" s="39" t="s">
        <v>2407</v>
      </c>
      <c r="D17" s="39" t="s">
        <v>2382</v>
      </c>
      <c r="E17" s="39" t="s">
        <v>7</v>
      </c>
      <c r="F17" s="39" t="s">
        <v>397</v>
      </c>
      <c r="G17" s="39" t="s">
        <v>2408</v>
      </c>
      <c r="H17" s="39" t="s">
        <v>2408</v>
      </c>
      <c r="I17" s="70">
        <v>103.673</v>
      </c>
      <c r="L17" s="39" t="s">
        <v>2133</v>
      </c>
      <c r="M17" s="39" t="s">
        <v>2133</v>
      </c>
      <c r="N17" s="39" t="s">
        <v>67</v>
      </c>
      <c r="O17" s="39" t="s">
        <v>81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400.0</v>
      </c>
      <c r="AE17" s="39">
        <v>1.0</v>
      </c>
    </row>
    <row r="18">
      <c r="A18" s="39" t="s">
        <v>2193</v>
      </c>
      <c r="B18" s="39" t="s">
        <v>2194</v>
      </c>
      <c r="C18" s="39" t="s">
        <v>2195</v>
      </c>
      <c r="D18" s="39" t="s">
        <v>2382</v>
      </c>
      <c r="E18" s="39" t="s">
        <v>7</v>
      </c>
      <c r="F18" s="39" t="s">
        <v>397</v>
      </c>
      <c r="G18" s="39" t="s">
        <v>2409</v>
      </c>
      <c r="H18" s="39" t="s">
        <v>2409</v>
      </c>
      <c r="I18" s="70">
        <v>102.68</v>
      </c>
      <c r="L18" s="39" t="s">
        <v>1685</v>
      </c>
      <c r="M18" s="39" t="s">
        <v>2126</v>
      </c>
      <c r="N18" s="39" t="s">
        <v>67</v>
      </c>
      <c r="O18" s="39" t="s">
        <v>67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500.0</v>
      </c>
      <c r="AE18" s="39">
        <v>1.0</v>
      </c>
    </row>
    <row r="19">
      <c r="A19" s="39" t="s">
        <v>2410</v>
      </c>
      <c r="B19" s="39" t="s">
        <v>2194</v>
      </c>
      <c r="C19" s="39" t="s">
        <v>2195</v>
      </c>
      <c r="D19" s="39" t="s">
        <v>2382</v>
      </c>
      <c r="E19" s="39" t="s">
        <v>7</v>
      </c>
      <c r="F19" s="39" t="s">
        <v>397</v>
      </c>
      <c r="G19" s="39" t="s">
        <v>2411</v>
      </c>
      <c r="H19" s="39" t="s">
        <v>2411</v>
      </c>
      <c r="I19" s="70">
        <v>101.03</v>
      </c>
      <c r="L19" s="39" t="s">
        <v>1685</v>
      </c>
      <c r="M19" s="39" t="s">
        <v>2140</v>
      </c>
      <c r="N19" s="39" t="s">
        <v>67</v>
      </c>
      <c r="O19" s="39" t="s">
        <v>81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350.0</v>
      </c>
      <c r="AE19" s="39">
        <v>1.0</v>
      </c>
    </row>
    <row r="20">
      <c r="A20" s="39" t="s">
        <v>2147</v>
      </c>
      <c r="D20" s="39" t="s">
        <v>2382</v>
      </c>
      <c r="E20" s="39" t="s">
        <v>7</v>
      </c>
      <c r="F20" s="39" t="s">
        <v>397</v>
      </c>
      <c r="G20" s="39" t="s">
        <v>2412</v>
      </c>
      <c r="H20" s="39" t="s">
        <v>2412</v>
      </c>
      <c r="I20" s="70">
        <v>99.88</v>
      </c>
      <c r="L20" s="39" t="s">
        <v>1685</v>
      </c>
      <c r="M20" s="39" t="s">
        <v>2149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700.0</v>
      </c>
      <c r="AE20" s="39">
        <v>1.0</v>
      </c>
    </row>
    <row r="21">
      <c r="A21" s="39" t="s">
        <v>2397</v>
      </c>
      <c r="D21" s="39" t="s">
        <v>2382</v>
      </c>
      <c r="E21" s="39" t="s">
        <v>7</v>
      </c>
      <c r="F21" s="39" t="s">
        <v>397</v>
      </c>
      <c r="G21" s="39" t="s">
        <v>2413</v>
      </c>
      <c r="H21" s="39" t="s">
        <v>2413</v>
      </c>
      <c r="I21" s="70">
        <v>97.94</v>
      </c>
      <c r="L21" s="39" t="s">
        <v>2133</v>
      </c>
      <c r="M21" s="39" t="s">
        <v>2133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650.0</v>
      </c>
      <c r="AE21" s="39">
        <v>1.0</v>
      </c>
    </row>
    <row r="22">
      <c r="A22" s="39" t="s">
        <v>2414</v>
      </c>
      <c r="B22" s="39" t="s">
        <v>2184</v>
      </c>
      <c r="C22" s="39" t="s">
        <v>2185</v>
      </c>
      <c r="D22" s="39" t="s">
        <v>2382</v>
      </c>
      <c r="E22" s="39" t="s">
        <v>7</v>
      </c>
      <c r="F22" s="39" t="s">
        <v>397</v>
      </c>
      <c r="G22" s="39" t="s">
        <v>2415</v>
      </c>
      <c r="H22" s="39" t="s">
        <v>2415</v>
      </c>
      <c r="I22" s="70">
        <v>96.36</v>
      </c>
      <c r="L22" s="39" t="s">
        <v>1685</v>
      </c>
      <c r="M22" s="39" t="s">
        <v>2126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500.0</v>
      </c>
      <c r="AE22" s="39">
        <v>1.0</v>
      </c>
    </row>
    <row r="23">
      <c r="A23" s="39" t="s">
        <v>2416</v>
      </c>
      <c r="B23" s="39" t="s">
        <v>2184</v>
      </c>
      <c r="C23" s="39" t="s">
        <v>2185</v>
      </c>
      <c r="D23" s="39" t="s">
        <v>2382</v>
      </c>
      <c r="E23" s="39" t="s">
        <v>7</v>
      </c>
      <c r="F23" s="39" t="s">
        <v>397</v>
      </c>
      <c r="G23" s="39" t="s">
        <v>2417</v>
      </c>
      <c r="H23" s="39" t="s">
        <v>2417</v>
      </c>
      <c r="I23" s="70">
        <v>95.62299999999999</v>
      </c>
      <c r="L23" s="39" t="s">
        <v>1685</v>
      </c>
      <c r="M23" s="39" t="s">
        <v>2140</v>
      </c>
      <c r="N23" s="39" t="s">
        <v>119</v>
      </c>
      <c r="O23" s="39" t="s">
        <v>67</v>
      </c>
      <c r="Q23" s="39">
        <v>0.0</v>
      </c>
      <c r="R23" s="39">
        <v>1.0</v>
      </c>
      <c r="S23" s="39">
        <v>0.0</v>
      </c>
      <c r="T23" s="39">
        <v>0.0</v>
      </c>
      <c r="U23" s="39">
        <v>0.0</v>
      </c>
      <c r="V23" s="39">
        <v>1.0</v>
      </c>
      <c r="W23" s="39">
        <v>0.0</v>
      </c>
      <c r="X23" s="39">
        <v>1.0</v>
      </c>
      <c r="Y23" s="39">
        <v>0.0</v>
      </c>
      <c r="Z23" s="39" t="s">
        <v>2402</v>
      </c>
      <c r="AA23" s="30" t="s">
        <v>115</v>
      </c>
      <c r="AC23" s="39">
        <v>300.0</v>
      </c>
      <c r="AE23" s="39">
        <v>1.0</v>
      </c>
    </row>
    <row r="24">
      <c r="A24" s="39" t="s">
        <v>2418</v>
      </c>
      <c r="B24" s="39" t="s">
        <v>2184</v>
      </c>
      <c r="C24" s="39" t="s">
        <v>2185</v>
      </c>
      <c r="D24" s="39" t="s">
        <v>2382</v>
      </c>
      <c r="E24" s="39" t="s">
        <v>7</v>
      </c>
      <c r="F24" s="39" t="s">
        <v>397</v>
      </c>
      <c r="G24" s="39" t="s">
        <v>662</v>
      </c>
      <c r="I24" s="70">
        <v>95.219</v>
      </c>
      <c r="L24" s="39" t="s">
        <v>1685</v>
      </c>
      <c r="M24" s="39" t="s">
        <v>2143</v>
      </c>
      <c r="N24" s="39" t="s">
        <v>81</v>
      </c>
      <c r="O24" s="39" t="s">
        <v>67</v>
      </c>
      <c r="Q24" s="39">
        <v>1.0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250.0</v>
      </c>
      <c r="AE24" s="39">
        <v>1.0</v>
      </c>
    </row>
    <row r="25">
      <c r="A25" s="39" t="s">
        <v>2419</v>
      </c>
      <c r="B25" s="39" t="s">
        <v>2184</v>
      </c>
      <c r="C25" s="39" t="s">
        <v>2185</v>
      </c>
      <c r="D25" s="39" t="s">
        <v>2382</v>
      </c>
      <c r="E25" s="39" t="s">
        <v>7</v>
      </c>
      <c r="F25" s="39" t="s">
        <v>397</v>
      </c>
      <c r="G25" s="39" t="s">
        <v>1996</v>
      </c>
      <c r="H25" s="39" t="s">
        <v>1996</v>
      </c>
      <c r="I25" s="70">
        <v>94.089</v>
      </c>
      <c r="L25" s="39" t="s">
        <v>1685</v>
      </c>
      <c r="M25" s="39" t="s">
        <v>2388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300.0</v>
      </c>
      <c r="AE25" s="39">
        <v>1.0</v>
      </c>
    </row>
    <row r="26">
      <c r="A26" s="39" t="s">
        <v>2181</v>
      </c>
      <c r="D26" s="39" t="s">
        <v>2382</v>
      </c>
      <c r="E26" s="39" t="s">
        <v>7</v>
      </c>
      <c r="F26" s="39" t="s">
        <v>397</v>
      </c>
      <c r="G26" s="39" t="s">
        <v>2420</v>
      </c>
      <c r="H26" s="39" t="s">
        <v>2420</v>
      </c>
      <c r="I26" s="70">
        <v>92.60900000000001</v>
      </c>
      <c r="L26" s="39" t="s">
        <v>1716</v>
      </c>
      <c r="N26" s="39" t="s">
        <v>67</v>
      </c>
      <c r="O26" s="39" t="s">
        <v>81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300.0</v>
      </c>
      <c r="AE26" s="39">
        <v>1.0</v>
      </c>
    </row>
    <row r="27">
      <c r="A27" s="39" t="s">
        <v>2147</v>
      </c>
      <c r="D27" s="39" t="s">
        <v>2382</v>
      </c>
      <c r="E27" s="39" t="s">
        <v>7</v>
      </c>
      <c r="F27" s="39" t="s">
        <v>397</v>
      </c>
      <c r="G27" s="39" t="s">
        <v>2421</v>
      </c>
      <c r="H27" s="39" t="s">
        <v>2421</v>
      </c>
      <c r="I27" s="70">
        <v>91.613</v>
      </c>
      <c r="N27" s="39" t="s">
        <v>67</v>
      </c>
      <c r="O27" s="39" t="s">
        <v>81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450.0</v>
      </c>
      <c r="AE27" s="39">
        <v>1.0</v>
      </c>
    </row>
    <row r="28">
      <c r="A28" s="39" t="s">
        <v>2407</v>
      </c>
      <c r="D28" s="39" t="s">
        <v>2382</v>
      </c>
      <c r="E28" s="39" t="s">
        <v>7</v>
      </c>
      <c r="F28" s="39" t="s">
        <v>397</v>
      </c>
      <c r="G28" s="39" t="s">
        <v>2422</v>
      </c>
      <c r="H28" s="39" t="s">
        <v>2422</v>
      </c>
      <c r="I28" s="70">
        <v>90.033</v>
      </c>
      <c r="N28" s="39" t="s">
        <v>67</v>
      </c>
      <c r="O28" s="39" t="s">
        <v>67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300.0</v>
      </c>
      <c r="AE28" s="39">
        <v>1.0</v>
      </c>
    </row>
    <row r="29">
      <c r="A29" s="39" t="s">
        <v>2167</v>
      </c>
      <c r="B29" s="39" t="s">
        <v>2168</v>
      </c>
      <c r="C29" s="39" t="s">
        <v>2169</v>
      </c>
      <c r="D29" s="39" t="s">
        <v>2382</v>
      </c>
      <c r="E29" s="39" t="s">
        <v>7</v>
      </c>
      <c r="F29" s="39" t="s">
        <v>397</v>
      </c>
      <c r="G29" s="39" t="s">
        <v>2423</v>
      </c>
      <c r="H29" s="39" t="s">
        <v>2423</v>
      </c>
      <c r="I29" s="70">
        <v>88.833</v>
      </c>
      <c r="N29" s="39" t="s">
        <v>67</v>
      </c>
      <c r="O29" s="39" t="s">
        <v>67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450.0</v>
      </c>
      <c r="AE29" s="39">
        <v>1.0</v>
      </c>
    </row>
    <row r="30">
      <c r="A30" s="39" t="s">
        <v>2424</v>
      </c>
      <c r="B30" s="39" t="s">
        <v>2168</v>
      </c>
      <c r="C30" s="39" t="s">
        <v>2169</v>
      </c>
      <c r="D30" s="39" t="s">
        <v>2382</v>
      </c>
      <c r="E30" s="39" t="s">
        <v>7</v>
      </c>
      <c r="F30" s="39" t="s">
        <v>397</v>
      </c>
      <c r="G30" s="39" t="s">
        <v>2425</v>
      </c>
      <c r="H30" s="39" t="s">
        <v>2425</v>
      </c>
      <c r="I30" s="70">
        <v>85.87299999999999</v>
      </c>
      <c r="N30" s="39" t="s">
        <v>67</v>
      </c>
      <c r="O30" s="39" t="s">
        <v>81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1.0</v>
      </c>
      <c r="W30" s="39">
        <v>0.0</v>
      </c>
      <c r="X30" s="39">
        <v>1.0</v>
      </c>
      <c r="Y30" s="39">
        <v>0.0</v>
      </c>
      <c r="Z30" s="39" t="s">
        <v>2402</v>
      </c>
      <c r="AA30" s="30" t="s">
        <v>115</v>
      </c>
      <c r="AC30" s="39">
        <v>300.0</v>
      </c>
      <c r="AE30" s="39">
        <v>1.0</v>
      </c>
    </row>
    <row r="31">
      <c r="A31" s="39" t="s">
        <v>2426</v>
      </c>
      <c r="B31" s="39" t="s">
        <v>2168</v>
      </c>
      <c r="C31" s="39" t="s">
        <v>2169</v>
      </c>
      <c r="D31" s="39" t="s">
        <v>2382</v>
      </c>
      <c r="E31" s="39" t="s">
        <v>7</v>
      </c>
      <c r="F31" s="39" t="s">
        <v>397</v>
      </c>
      <c r="G31" s="39" t="s">
        <v>662</v>
      </c>
      <c r="I31" s="70">
        <v>85.479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300.0</v>
      </c>
      <c r="AE31" s="39">
        <v>1.0</v>
      </c>
    </row>
    <row r="32">
      <c r="A32" s="39" t="s">
        <v>2427</v>
      </c>
      <c r="B32" s="39" t="s">
        <v>2168</v>
      </c>
      <c r="C32" s="39" t="s">
        <v>2169</v>
      </c>
      <c r="D32" s="39" t="s">
        <v>2382</v>
      </c>
      <c r="E32" s="39" t="s">
        <v>7</v>
      </c>
      <c r="F32" s="39" t="s">
        <v>397</v>
      </c>
      <c r="G32" s="39" t="s">
        <v>657</v>
      </c>
      <c r="I32" s="70">
        <v>84.299</v>
      </c>
      <c r="N32" s="39" t="s">
        <v>119</v>
      </c>
      <c r="O32" s="39" t="s">
        <v>68</v>
      </c>
      <c r="Q32" s="39">
        <v>0.0</v>
      </c>
      <c r="R32" s="39">
        <v>1.0</v>
      </c>
      <c r="S32" s="39">
        <v>0.0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C32" s="39">
        <v>250.0</v>
      </c>
      <c r="AE32" s="39">
        <v>1.0</v>
      </c>
    </row>
    <row r="33">
      <c r="A33" s="39" t="s">
        <v>2428</v>
      </c>
      <c r="B33" s="39" t="s">
        <v>2168</v>
      </c>
      <c r="C33" s="39" t="s">
        <v>2169</v>
      </c>
      <c r="D33" s="39" t="s">
        <v>2382</v>
      </c>
      <c r="E33" s="39" t="s">
        <v>7</v>
      </c>
      <c r="F33" s="39" t="s">
        <v>397</v>
      </c>
      <c r="G33" s="39" t="s">
        <v>2429</v>
      </c>
      <c r="H33" s="39" t="s">
        <v>2429</v>
      </c>
      <c r="I33" s="70">
        <v>83.279</v>
      </c>
      <c r="N33" s="39" t="s">
        <v>119</v>
      </c>
      <c r="O33" s="39" t="s">
        <v>67</v>
      </c>
      <c r="Q33" s="39">
        <v>0.0</v>
      </c>
      <c r="R33" s="39">
        <v>1.0</v>
      </c>
      <c r="S33" s="39">
        <v>0.0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300.0</v>
      </c>
      <c r="AE33" s="39">
        <v>1.0</v>
      </c>
    </row>
    <row r="34">
      <c r="A34" s="39" t="s">
        <v>2147</v>
      </c>
      <c r="D34" s="39" t="s">
        <v>2382</v>
      </c>
      <c r="E34" s="39" t="s">
        <v>7</v>
      </c>
      <c r="F34" s="39" t="s">
        <v>397</v>
      </c>
      <c r="G34" s="39" t="s">
        <v>2430</v>
      </c>
      <c r="H34" s="39" t="s">
        <v>2430</v>
      </c>
      <c r="I34" s="70">
        <v>81.819</v>
      </c>
      <c r="N34" s="39" t="s">
        <v>67</v>
      </c>
      <c r="O34" s="39" t="s">
        <v>67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450.0</v>
      </c>
      <c r="AE34" s="39">
        <v>1.0</v>
      </c>
    </row>
    <row r="35">
      <c r="A35" s="39" t="s">
        <v>2407</v>
      </c>
      <c r="D35" s="39" t="s">
        <v>2382</v>
      </c>
      <c r="E35" s="39" t="s">
        <v>7</v>
      </c>
      <c r="F35" s="39" t="s">
        <v>397</v>
      </c>
      <c r="G35" s="39" t="s">
        <v>2431</v>
      </c>
      <c r="H35" s="39" t="s">
        <v>2431</v>
      </c>
      <c r="I35" s="70">
        <v>80.309</v>
      </c>
      <c r="N35" s="39" t="s">
        <v>67</v>
      </c>
      <c r="O35" s="39" t="s">
        <v>81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600.0</v>
      </c>
      <c r="AE35" s="39">
        <v>1.0</v>
      </c>
    </row>
    <row r="36">
      <c r="A36" s="39" t="s">
        <v>2163</v>
      </c>
      <c r="D36" s="39" t="s">
        <v>2382</v>
      </c>
      <c r="E36" s="39" t="s">
        <v>7</v>
      </c>
      <c r="F36" s="39" t="s">
        <v>397</v>
      </c>
      <c r="G36" s="39" t="s">
        <v>2432</v>
      </c>
      <c r="H36" s="39" t="s">
        <v>2432</v>
      </c>
      <c r="I36" s="70">
        <v>79.856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450.0</v>
      </c>
      <c r="AE36" s="39">
        <v>1.0</v>
      </c>
    </row>
    <row r="37">
      <c r="A37" s="39" t="s">
        <v>2433</v>
      </c>
      <c r="B37" s="39" t="s">
        <v>2153</v>
      </c>
      <c r="C37" s="39" t="s">
        <v>2154</v>
      </c>
      <c r="D37" s="39" t="s">
        <v>2382</v>
      </c>
      <c r="E37" s="39" t="s">
        <v>7</v>
      </c>
      <c r="F37" s="39" t="s">
        <v>397</v>
      </c>
      <c r="G37" s="39" t="s">
        <v>2434</v>
      </c>
      <c r="H37" s="39" t="s">
        <v>2434</v>
      </c>
      <c r="I37" s="70">
        <v>79.459</v>
      </c>
      <c r="N37" s="39" t="s">
        <v>67</v>
      </c>
      <c r="O37" s="39" t="s">
        <v>81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1.0</v>
      </c>
      <c r="W37" s="39">
        <v>0.0</v>
      </c>
      <c r="X37" s="39">
        <v>1.0</v>
      </c>
      <c r="Y37" s="39">
        <v>1.0</v>
      </c>
      <c r="Z37" s="39" t="s">
        <v>2435</v>
      </c>
      <c r="AA37" s="30" t="s">
        <v>70</v>
      </c>
      <c r="AC37" s="39">
        <v>500.0</v>
      </c>
      <c r="AE37" s="39">
        <v>1.0</v>
      </c>
    </row>
    <row r="38">
      <c r="A38" s="39" t="s">
        <v>2436</v>
      </c>
      <c r="B38" s="39" t="s">
        <v>2153</v>
      </c>
      <c r="C38" s="39" t="s">
        <v>2154</v>
      </c>
      <c r="D38" s="39" t="s">
        <v>2382</v>
      </c>
      <c r="E38" s="39" t="s">
        <v>7</v>
      </c>
      <c r="F38" s="39" t="s">
        <v>397</v>
      </c>
      <c r="G38" s="39" t="s">
        <v>662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1.0</v>
      </c>
      <c r="X38" s="39">
        <v>0.0</v>
      </c>
      <c r="Y38" s="39">
        <v>0.0</v>
      </c>
      <c r="AC38" s="39">
        <v>400.0</v>
      </c>
      <c r="AE38" s="39">
        <v>1.0</v>
      </c>
    </row>
    <row r="39">
      <c r="A39" s="39" t="s">
        <v>2437</v>
      </c>
      <c r="B39" s="39" t="s">
        <v>2153</v>
      </c>
      <c r="C39" s="39" t="s">
        <v>2154</v>
      </c>
      <c r="D39" s="39" t="s">
        <v>2382</v>
      </c>
      <c r="E39" s="39" t="s">
        <v>7</v>
      </c>
      <c r="F39" s="39" t="s">
        <v>397</v>
      </c>
      <c r="G39" s="39" t="s">
        <v>2438</v>
      </c>
      <c r="H39" s="39" t="s">
        <v>2438</v>
      </c>
      <c r="I39" s="70">
        <v>78.249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500.0</v>
      </c>
      <c r="AE39" s="39">
        <v>1.0</v>
      </c>
    </row>
    <row r="40">
      <c r="A40" s="39" t="s">
        <v>2147</v>
      </c>
      <c r="D40" s="39" t="s">
        <v>2382</v>
      </c>
      <c r="E40" s="39" t="s">
        <v>7</v>
      </c>
      <c r="F40" s="39" t="s">
        <v>397</v>
      </c>
      <c r="G40" s="39" t="s">
        <v>2439</v>
      </c>
      <c r="H40" s="39" t="s">
        <v>2439</v>
      </c>
      <c r="I40" s="70">
        <v>76.899</v>
      </c>
      <c r="N40" s="39" t="s">
        <v>67</v>
      </c>
      <c r="O40" s="39" t="s">
        <v>81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450.0</v>
      </c>
      <c r="AE40" s="39">
        <v>1.0</v>
      </c>
    </row>
    <row r="41">
      <c r="A41" s="39" t="s">
        <v>2440</v>
      </c>
      <c r="D41" s="39" t="s">
        <v>2382</v>
      </c>
      <c r="E41" s="39" t="s">
        <v>7</v>
      </c>
      <c r="F41" s="39" t="s">
        <v>397</v>
      </c>
      <c r="G41" s="39" t="s">
        <v>2441</v>
      </c>
      <c r="H41" s="39" t="s">
        <v>2441</v>
      </c>
      <c r="I41" s="70">
        <v>75.499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600.0</v>
      </c>
      <c r="AE41" s="39">
        <v>1.0</v>
      </c>
    </row>
    <row r="42">
      <c r="A42" s="39" t="s">
        <v>2442</v>
      </c>
      <c r="B42" s="39" t="s">
        <v>2137</v>
      </c>
      <c r="C42" s="39" t="s">
        <v>2138</v>
      </c>
      <c r="D42" s="39" t="s">
        <v>2382</v>
      </c>
      <c r="E42" s="39" t="s">
        <v>7</v>
      </c>
      <c r="F42" s="39" t="s">
        <v>397</v>
      </c>
      <c r="G42" s="39" t="s">
        <v>2443</v>
      </c>
      <c r="H42" s="39" t="s">
        <v>2443</v>
      </c>
      <c r="I42" s="70">
        <v>74.459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600.0</v>
      </c>
      <c r="AE42" s="39">
        <v>1.0</v>
      </c>
    </row>
    <row r="43">
      <c r="A43" s="39" t="s">
        <v>2444</v>
      </c>
      <c r="B43" s="39" t="s">
        <v>2137</v>
      </c>
      <c r="C43" s="39" t="s">
        <v>2138</v>
      </c>
      <c r="D43" s="39" t="s">
        <v>2382</v>
      </c>
      <c r="E43" s="39" t="s">
        <v>7</v>
      </c>
      <c r="F43" s="39" t="s">
        <v>397</v>
      </c>
      <c r="G43" s="39" t="s">
        <v>2445</v>
      </c>
      <c r="H43" s="39" t="s">
        <v>2445</v>
      </c>
      <c r="I43" s="70">
        <v>72.589</v>
      </c>
      <c r="N43" s="39" t="s">
        <v>67</v>
      </c>
      <c r="O43" s="39" t="s">
        <v>81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1.0</v>
      </c>
      <c r="W43" s="39">
        <v>0.0</v>
      </c>
      <c r="X43" s="39">
        <v>1.0</v>
      </c>
      <c r="Y43" s="39">
        <v>0.0</v>
      </c>
      <c r="Z43" s="39" t="s">
        <v>2402</v>
      </c>
      <c r="AA43" s="30" t="s">
        <v>115</v>
      </c>
      <c r="AC43" s="39">
        <v>400.0</v>
      </c>
      <c r="AE43" s="39">
        <v>1.0</v>
      </c>
    </row>
    <row r="44">
      <c r="A44" s="39" t="s">
        <v>2446</v>
      </c>
      <c r="B44" s="39" t="s">
        <v>2137</v>
      </c>
      <c r="C44" s="39" t="s">
        <v>2138</v>
      </c>
      <c r="D44" s="39" t="s">
        <v>2382</v>
      </c>
      <c r="E44" s="39" t="s">
        <v>7</v>
      </c>
      <c r="F44" s="39" t="s">
        <v>397</v>
      </c>
      <c r="G44" s="39" t="s">
        <v>662</v>
      </c>
      <c r="I44" s="70">
        <v>72.129</v>
      </c>
      <c r="N44" s="39" t="s">
        <v>119</v>
      </c>
      <c r="O44" s="39" t="s">
        <v>68</v>
      </c>
      <c r="Q44" s="39">
        <v>0.0</v>
      </c>
      <c r="R44" s="39">
        <v>1.0</v>
      </c>
      <c r="S44" s="39">
        <v>0.0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400.0</v>
      </c>
      <c r="AE44" s="39">
        <v>1.0</v>
      </c>
    </row>
    <row r="45">
      <c r="A45" s="39" t="s">
        <v>2447</v>
      </c>
      <c r="B45" s="39" t="s">
        <v>2137</v>
      </c>
      <c r="C45" s="39" t="s">
        <v>2138</v>
      </c>
      <c r="D45" s="39" t="s">
        <v>2382</v>
      </c>
      <c r="E45" s="39" t="s">
        <v>7</v>
      </c>
      <c r="F45" s="39" t="s">
        <v>397</v>
      </c>
      <c r="G45" s="39" t="s">
        <v>2448</v>
      </c>
      <c r="H45" s="39" t="s">
        <v>2448</v>
      </c>
      <c r="I45" s="70">
        <v>70.799</v>
      </c>
      <c r="N45" s="39" t="s">
        <v>67</v>
      </c>
      <c r="O45" s="39" t="s">
        <v>67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C45" s="39">
        <v>300.0</v>
      </c>
      <c r="AE45" s="39">
        <v>1.0</v>
      </c>
    </row>
    <row r="46">
      <c r="A46" s="39" t="s">
        <v>2134</v>
      </c>
      <c r="D46" s="39" t="s">
        <v>2382</v>
      </c>
      <c r="E46" s="39" t="s">
        <v>7</v>
      </c>
      <c r="F46" s="39" t="s">
        <v>397</v>
      </c>
      <c r="G46" s="39" t="s">
        <v>2449</v>
      </c>
      <c r="H46" s="39" t="s">
        <v>2449</v>
      </c>
      <c r="I46" s="70">
        <v>69.439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400.0</v>
      </c>
      <c r="AE46" s="39">
        <v>1.0</v>
      </c>
    </row>
    <row r="47">
      <c r="A47" s="39" t="s">
        <v>2450</v>
      </c>
      <c r="D47" s="39" t="s">
        <v>2382</v>
      </c>
      <c r="E47" s="39" t="s">
        <v>7</v>
      </c>
      <c r="F47" s="39" t="s">
        <v>397</v>
      </c>
      <c r="G47" s="39" t="s">
        <v>2451</v>
      </c>
      <c r="H47" s="39" t="s">
        <v>2451</v>
      </c>
      <c r="I47" s="70">
        <v>67.889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600.0</v>
      </c>
      <c r="AE47" s="39">
        <v>1.0</v>
      </c>
    </row>
    <row r="48">
      <c r="A48" s="39" t="s">
        <v>2407</v>
      </c>
      <c r="D48" s="39" t="s">
        <v>2382</v>
      </c>
      <c r="E48" s="39" t="s">
        <v>7</v>
      </c>
      <c r="F48" s="39" t="s">
        <v>397</v>
      </c>
      <c r="G48" s="39" t="s">
        <v>2056</v>
      </c>
      <c r="H48" s="39" t="s">
        <v>2056</v>
      </c>
      <c r="I48" s="70">
        <v>66.739</v>
      </c>
      <c r="N48" s="39" t="s">
        <v>67</v>
      </c>
      <c r="O48" s="39" t="s">
        <v>68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600.0</v>
      </c>
      <c r="AE48" s="39">
        <v>1.0</v>
      </c>
    </row>
    <row r="49">
      <c r="A49" s="39" t="s">
        <v>2127</v>
      </c>
      <c r="D49" s="39" t="s">
        <v>2382</v>
      </c>
      <c r="E49" s="39" t="s">
        <v>7</v>
      </c>
      <c r="F49" s="39" t="s">
        <v>397</v>
      </c>
      <c r="G49" s="39" t="s">
        <v>2452</v>
      </c>
      <c r="H49" s="39" t="s">
        <v>2452</v>
      </c>
      <c r="I49" s="70">
        <v>66.055</v>
      </c>
      <c r="N49" s="39" t="s">
        <v>67</v>
      </c>
      <c r="O49" s="39" t="s">
        <v>81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550.0</v>
      </c>
      <c r="AE49" s="39">
        <v>1.0</v>
      </c>
    </row>
    <row r="50">
      <c r="A50" s="39" t="s">
        <v>2453</v>
      </c>
      <c r="B50" s="39" t="s">
        <v>2114</v>
      </c>
      <c r="C50" s="39" t="s">
        <v>2115</v>
      </c>
      <c r="D50" s="39" t="s">
        <v>2382</v>
      </c>
      <c r="E50" s="39" t="s">
        <v>7</v>
      </c>
      <c r="F50" s="39" t="s">
        <v>397</v>
      </c>
      <c r="G50" s="39" t="s">
        <v>2454</v>
      </c>
      <c r="H50" s="39" t="s">
        <v>2454</v>
      </c>
      <c r="I50" s="70">
        <v>65.045</v>
      </c>
      <c r="N50" s="39" t="s">
        <v>67</v>
      </c>
      <c r="O50" s="39" t="s">
        <v>81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425.0</v>
      </c>
      <c r="AE50" s="39">
        <v>1.0</v>
      </c>
    </row>
    <row r="51">
      <c r="A51" s="39" t="s">
        <v>2455</v>
      </c>
      <c r="B51" s="39" t="s">
        <v>2114</v>
      </c>
      <c r="C51" s="39" t="s">
        <v>2115</v>
      </c>
      <c r="D51" s="39" t="s">
        <v>2382</v>
      </c>
      <c r="E51" s="39" t="s">
        <v>7</v>
      </c>
      <c r="F51" s="39" t="s">
        <v>397</v>
      </c>
      <c r="G51" s="39" t="s">
        <v>2456</v>
      </c>
      <c r="H51" s="39" t="s">
        <v>2456</v>
      </c>
      <c r="I51" s="70">
        <v>64.494</v>
      </c>
      <c r="N51" s="39" t="s">
        <v>67</v>
      </c>
      <c r="O51" s="39" t="s">
        <v>67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1.0</v>
      </c>
      <c r="W51" s="39">
        <v>0.0</v>
      </c>
      <c r="X51" s="39">
        <v>0.0</v>
      </c>
      <c r="Y51" s="39">
        <v>0.0</v>
      </c>
      <c r="AC51" s="39">
        <v>500.0</v>
      </c>
      <c r="AE51" s="39">
        <v>1.0</v>
      </c>
    </row>
    <row r="52">
      <c r="A52" s="39" t="s">
        <v>2457</v>
      </c>
      <c r="B52" s="39" t="s">
        <v>2114</v>
      </c>
      <c r="C52" s="39" t="s">
        <v>2115</v>
      </c>
      <c r="D52" s="39" t="s">
        <v>2382</v>
      </c>
      <c r="E52" s="39" t="s">
        <v>7</v>
      </c>
      <c r="F52" s="39" t="s">
        <v>397</v>
      </c>
      <c r="G52" s="39" t="s">
        <v>65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1.0</v>
      </c>
      <c r="W52" s="39">
        <v>1.0</v>
      </c>
      <c r="X52" s="39">
        <v>1.0</v>
      </c>
      <c r="Y52" s="39">
        <v>0.0</v>
      </c>
      <c r="Z52" s="39" t="s">
        <v>2402</v>
      </c>
      <c r="AA52" s="30" t="s">
        <v>115</v>
      </c>
      <c r="AC52" s="39">
        <v>250.0</v>
      </c>
      <c r="AE52" s="39">
        <v>1.0</v>
      </c>
    </row>
    <row r="53">
      <c r="A53" s="39" t="s">
        <v>2458</v>
      </c>
      <c r="B53" s="39" t="s">
        <v>2114</v>
      </c>
      <c r="C53" s="39" t="s">
        <v>2115</v>
      </c>
      <c r="D53" s="39" t="s">
        <v>2382</v>
      </c>
      <c r="E53" s="39" t="s">
        <v>7</v>
      </c>
      <c r="F53" s="39" t="s">
        <v>397</v>
      </c>
      <c r="G53" s="39" t="s">
        <v>662</v>
      </c>
      <c r="I53" s="70">
        <v>64.113</v>
      </c>
      <c r="N53" s="39" t="s">
        <v>81</v>
      </c>
      <c r="O53" s="39" t="s">
        <v>68</v>
      </c>
      <c r="Q53" s="39">
        <v>1.0</v>
      </c>
      <c r="R53" s="39">
        <v>0.0</v>
      </c>
      <c r="S53" s="39">
        <v>0.0</v>
      </c>
      <c r="T53" s="39">
        <v>0.0</v>
      </c>
      <c r="U53" s="39">
        <v>0.0</v>
      </c>
      <c r="V53" s="39">
        <v>1.0</v>
      </c>
      <c r="W53" s="39">
        <v>1.0</v>
      </c>
      <c r="X53" s="39">
        <v>1.0</v>
      </c>
      <c r="Y53" s="39">
        <v>0.0</v>
      </c>
      <c r="Z53" s="39" t="s">
        <v>2402</v>
      </c>
      <c r="AA53" s="30" t="s">
        <v>115</v>
      </c>
      <c r="AC53" s="39">
        <v>250.0</v>
      </c>
      <c r="AE53" s="39">
        <v>1.0</v>
      </c>
    </row>
    <row r="54">
      <c r="A54" s="39" t="s">
        <v>2459</v>
      </c>
      <c r="B54" s="39" t="s">
        <v>2114</v>
      </c>
      <c r="C54" s="39" t="s">
        <v>2115</v>
      </c>
      <c r="D54" s="39" t="s">
        <v>2382</v>
      </c>
      <c r="E54" s="39" t="s">
        <v>7</v>
      </c>
      <c r="F54" s="39" t="s">
        <v>397</v>
      </c>
      <c r="G54" s="39" t="s">
        <v>2460</v>
      </c>
      <c r="H54" s="39" t="s">
        <v>2460</v>
      </c>
      <c r="I54" s="70">
        <v>63.686</v>
      </c>
      <c r="N54" s="39" t="s">
        <v>119</v>
      </c>
      <c r="O54" s="39" t="s">
        <v>81</v>
      </c>
      <c r="Q54" s="39">
        <v>0.0</v>
      </c>
      <c r="R54" s="39">
        <v>1.0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400.0</v>
      </c>
      <c r="AE54" s="39">
        <v>1.0</v>
      </c>
    </row>
    <row r="55">
      <c r="A55" s="39" t="s">
        <v>2461</v>
      </c>
      <c r="D55" s="39" t="s">
        <v>2382</v>
      </c>
      <c r="E55" s="39" t="s">
        <v>7</v>
      </c>
      <c r="F55" s="39" t="s">
        <v>397</v>
      </c>
      <c r="G55" s="39" t="s">
        <v>2462</v>
      </c>
      <c r="H55" s="39" t="s">
        <v>2462</v>
      </c>
      <c r="I55" s="70">
        <v>62.356</v>
      </c>
      <c r="L55" s="39" t="s">
        <v>102</v>
      </c>
      <c r="N55" s="39" t="s">
        <v>67</v>
      </c>
      <c r="O55" s="39" t="s">
        <v>81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250.0</v>
      </c>
      <c r="AE55" s="39">
        <v>1.0</v>
      </c>
    </row>
    <row r="56">
      <c r="A56" s="39" t="s">
        <v>2463</v>
      </c>
      <c r="D56" s="39" t="s">
        <v>2382</v>
      </c>
      <c r="E56" s="39" t="s">
        <v>7</v>
      </c>
      <c r="F56" s="39" t="s">
        <v>397</v>
      </c>
      <c r="G56" s="39" t="s">
        <v>1709</v>
      </c>
      <c r="H56" s="39" t="s">
        <v>1709</v>
      </c>
      <c r="I56" s="70">
        <v>61.636</v>
      </c>
      <c r="L56" s="39" t="s">
        <v>102</v>
      </c>
      <c r="N56" s="39" t="s">
        <v>67</v>
      </c>
      <c r="O56" s="39" t="s">
        <v>67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400.0</v>
      </c>
      <c r="AE56" s="39">
        <v>1.0</v>
      </c>
    </row>
    <row r="57">
      <c r="A57" s="39" t="s">
        <v>2464</v>
      </c>
      <c r="D57" s="39" t="s">
        <v>2382</v>
      </c>
      <c r="E57" s="39" t="s">
        <v>7</v>
      </c>
      <c r="F57" s="39" t="s">
        <v>397</v>
      </c>
      <c r="G57" s="39" t="s">
        <v>2465</v>
      </c>
      <c r="H57" s="39" t="s">
        <v>2465</v>
      </c>
      <c r="I57" s="70">
        <v>60.908</v>
      </c>
      <c r="L57" s="39" t="s">
        <v>102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400.0</v>
      </c>
      <c r="AE57" s="39">
        <v>1.0</v>
      </c>
    </row>
    <row r="58">
      <c r="A58" s="39" t="s">
        <v>2466</v>
      </c>
      <c r="D58" s="39" t="s">
        <v>2382</v>
      </c>
      <c r="E58" s="39" t="s">
        <v>7</v>
      </c>
      <c r="F58" s="39" t="s">
        <v>397</v>
      </c>
      <c r="G58" s="39" t="s">
        <v>2467</v>
      </c>
      <c r="H58" s="39" t="s">
        <v>2467</v>
      </c>
      <c r="I58" s="70">
        <v>60.132</v>
      </c>
      <c r="L58" s="39" t="s">
        <v>102</v>
      </c>
      <c r="N58" s="39" t="s">
        <v>67</v>
      </c>
      <c r="O58" s="39" t="s">
        <v>81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300.0</v>
      </c>
      <c r="AE58" s="39">
        <v>1.0</v>
      </c>
    </row>
    <row r="59">
      <c r="A59" s="39" t="s">
        <v>2105</v>
      </c>
      <c r="D59" s="39" t="s">
        <v>2382</v>
      </c>
      <c r="E59" s="39" t="s">
        <v>7</v>
      </c>
      <c r="F59" s="39" t="s">
        <v>397</v>
      </c>
      <c r="G59" s="39" t="s">
        <v>2468</v>
      </c>
      <c r="H59" s="39" t="s">
        <v>2468</v>
      </c>
      <c r="I59" s="70">
        <v>59.375</v>
      </c>
      <c r="L59" s="39" t="s">
        <v>102</v>
      </c>
      <c r="N59" s="39" t="s">
        <v>67</v>
      </c>
      <c r="O59" s="39" t="s">
        <v>67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250.0</v>
      </c>
      <c r="AE59" s="39">
        <v>1.0</v>
      </c>
    </row>
    <row r="60">
      <c r="A60" s="39" t="s">
        <v>2469</v>
      </c>
      <c r="D60" s="39" t="s">
        <v>2382</v>
      </c>
      <c r="E60" s="39" t="s">
        <v>7</v>
      </c>
      <c r="F60" s="39" t="s">
        <v>397</v>
      </c>
      <c r="G60" s="39" t="s">
        <v>2470</v>
      </c>
      <c r="H60" s="39" t="s">
        <v>2470</v>
      </c>
      <c r="I60" s="70">
        <v>58.801</v>
      </c>
      <c r="L60" s="39" t="s">
        <v>102</v>
      </c>
      <c r="N60" s="39" t="s">
        <v>119</v>
      </c>
      <c r="O60" s="39" t="s">
        <v>67</v>
      </c>
      <c r="Q60" s="39">
        <v>0.0</v>
      </c>
      <c r="R60" s="39">
        <v>1.0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210.0</v>
      </c>
      <c r="AE60" s="39">
        <v>1.0</v>
      </c>
    </row>
    <row r="61">
      <c r="A61" s="39" t="s">
        <v>2471</v>
      </c>
      <c r="D61" s="39" t="s">
        <v>2382</v>
      </c>
      <c r="E61" s="39" t="s">
        <v>7</v>
      </c>
      <c r="F61" s="39" t="s">
        <v>397</v>
      </c>
      <c r="G61" s="39" t="s">
        <v>2472</v>
      </c>
      <c r="H61" s="39" t="s">
        <v>2472</v>
      </c>
      <c r="I61" s="70">
        <v>58.182</v>
      </c>
      <c r="L61" s="39" t="s">
        <v>102</v>
      </c>
      <c r="N61" s="39" t="s">
        <v>67</v>
      </c>
      <c r="O61" s="39" t="s">
        <v>81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500.0</v>
      </c>
      <c r="AE61" s="39">
        <v>1.0</v>
      </c>
    </row>
    <row r="62">
      <c r="A62" s="39" t="s">
        <v>2473</v>
      </c>
      <c r="D62" s="39" t="s">
        <v>2382</v>
      </c>
      <c r="E62" s="39" t="s">
        <v>7</v>
      </c>
      <c r="F62" s="39" t="s">
        <v>397</v>
      </c>
      <c r="G62" s="39" t="s">
        <v>2474</v>
      </c>
      <c r="H62" s="39" t="s">
        <v>2474</v>
      </c>
      <c r="I62" s="70">
        <v>57.739000000000004</v>
      </c>
      <c r="L62" s="39" t="s">
        <v>102</v>
      </c>
      <c r="N62" s="39" t="s">
        <v>67</v>
      </c>
      <c r="O62" s="39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500.0</v>
      </c>
      <c r="AE62" s="39">
        <v>1.0</v>
      </c>
    </row>
    <row r="63">
      <c r="A63" s="39" t="s">
        <v>2475</v>
      </c>
      <c r="D63" s="39" t="s">
        <v>2382</v>
      </c>
      <c r="E63" s="39" t="s">
        <v>7</v>
      </c>
      <c r="F63" s="39" t="s">
        <v>397</v>
      </c>
      <c r="G63" s="39" t="s">
        <v>2476</v>
      </c>
      <c r="H63" s="39" t="s">
        <v>2476</v>
      </c>
      <c r="I63" s="70">
        <v>57.07</v>
      </c>
      <c r="L63" s="39" t="s">
        <v>102</v>
      </c>
      <c r="N63" s="39" t="s">
        <v>67</v>
      </c>
      <c r="O63" s="39" t="s">
        <v>67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AC63" s="39">
        <v>250.0</v>
      </c>
      <c r="AE63" s="39">
        <v>1.0</v>
      </c>
    </row>
    <row r="64">
      <c r="A64" s="39" t="s">
        <v>2477</v>
      </c>
      <c r="D64" s="39" t="s">
        <v>2382</v>
      </c>
      <c r="E64" s="39" t="s">
        <v>7</v>
      </c>
      <c r="F64" s="39" t="s">
        <v>397</v>
      </c>
      <c r="G64" s="39" t="s">
        <v>2478</v>
      </c>
      <c r="H64" s="39" t="s">
        <v>2478</v>
      </c>
      <c r="I64" s="70">
        <v>56.339</v>
      </c>
      <c r="L64" s="39" t="s">
        <v>102</v>
      </c>
      <c r="N64" s="39" t="s">
        <v>67</v>
      </c>
      <c r="O64" s="39" t="s">
        <v>81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AC64" s="39">
        <v>220.0</v>
      </c>
      <c r="AE64" s="39">
        <v>1.0</v>
      </c>
    </row>
    <row r="65">
      <c r="A65" s="39" t="s">
        <v>2479</v>
      </c>
      <c r="D65" s="39" t="s">
        <v>2382</v>
      </c>
      <c r="E65" s="39" t="s">
        <v>7</v>
      </c>
      <c r="F65" s="39" t="s">
        <v>397</v>
      </c>
      <c r="G65" s="39" t="s">
        <v>2480</v>
      </c>
      <c r="H65" s="39" t="s">
        <v>2480</v>
      </c>
      <c r="I65" s="70">
        <v>55.71</v>
      </c>
      <c r="L65" s="39" t="s">
        <v>102</v>
      </c>
      <c r="N65" s="39" t="s">
        <v>67</v>
      </c>
      <c r="O65" s="39" t="s">
        <v>81</v>
      </c>
      <c r="Q65" s="39">
        <v>0.0</v>
      </c>
      <c r="R65" s="39">
        <v>0.0</v>
      </c>
      <c r="S65" s="39">
        <v>1.0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AC65" s="39">
        <v>300.0</v>
      </c>
      <c r="AE65" s="39">
        <v>1.0</v>
      </c>
    </row>
    <row r="66">
      <c r="A66" s="39" t="s">
        <v>2481</v>
      </c>
      <c r="B66" s="39" t="s">
        <v>360</v>
      </c>
      <c r="C66" s="39" t="s">
        <v>361</v>
      </c>
      <c r="D66" s="39" t="s">
        <v>2382</v>
      </c>
      <c r="E66" s="39" t="s">
        <v>7</v>
      </c>
      <c r="F66" s="39" t="s">
        <v>397</v>
      </c>
      <c r="G66" s="39" t="s">
        <v>2482</v>
      </c>
      <c r="H66" s="39" t="s">
        <v>2482</v>
      </c>
      <c r="I66" s="70">
        <v>54.895</v>
      </c>
      <c r="L66" s="2" t="s">
        <v>66</v>
      </c>
      <c r="N66" s="39" t="s">
        <v>67</v>
      </c>
      <c r="O66" s="39" t="s">
        <v>68</v>
      </c>
      <c r="Q66" s="39">
        <v>0.0</v>
      </c>
      <c r="R66" s="39">
        <v>0.0</v>
      </c>
      <c r="S66" s="39">
        <v>1.0</v>
      </c>
      <c r="T66" s="39">
        <v>0.0</v>
      </c>
      <c r="U66" s="39">
        <v>0.0</v>
      </c>
      <c r="V66" s="39">
        <v>1.0</v>
      </c>
      <c r="W66" s="39">
        <v>1.0</v>
      </c>
      <c r="X66" s="39">
        <v>1.0</v>
      </c>
      <c r="Y66" s="39">
        <v>0.0</v>
      </c>
      <c r="AA66" s="30" t="s">
        <v>115</v>
      </c>
      <c r="AC66" s="39">
        <v>350.0</v>
      </c>
      <c r="AE66" s="39">
        <v>1.0</v>
      </c>
    </row>
    <row r="67">
      <c r="A67" s="39" t="s">
        <v>2483</v>
      </c>
      <c r="B67" s="39" t="s">
        <v>360</v>
      </c>
      <c r="C67" s="39" t="s">
        <v>361</v>
      </c>
      <c r="D67" s="39" t="s">
        <v>2382</v>
      </c>
      <c r="E67" s="39" t="s">
        <v>7</v>
      </c>
      <c r="F67" s="39" t="s">
        <v>397</v>
      </c>
      <c r="G67" s="39" t="s">
        <v>2484</v>
      </c>
      <c r="H67" s="39" t="s">
        <v>2484</v>
      </c>
      <c r="I67" s="70">
        <v>54.085</v>
      </c>
      <c r="L67" s="2" t="s">
        <v>66</v>
      </c>
      <c r="N67" s="39" t="s">
        <v>67</v>
      </c>
      <c r="O67" s="39" t="s">
        <v>67</v>
      </c>
      <c r="Q67" s="39">
        <v>0.0</v>
      </c>
      <c r="R67" s="39">
        <v>0.0</v>
      </c>
      <c r="S67" s="39">
        <v>1.0</v>
      </c>
      <c r="T67" s="39">
        <v>0.0</v>
      </c>
      <c r="U67" s="39">
        <v>0.0</v>
      </c>
      <c r="V67" s="39">
        <v>1.0</v>
      </c>
      <c r="W67" s="39">
        <v>1.0</v>
      </c>
      <c r="X67" s="39">
        <v>3.0</v>
      </c>
      <c r="Y67" s="39">
        <v>1.0</v>
      </c>
      <c r="AA67" s="30" t="s">
        <v>1834</v>
      </c>
      <c r="AC67" s="39">
        <v>280.0</v>
      </c>
      <c r="AE67" s="39">
        <v>1.0</v>
      </c>
    </row>
    <row r="68">
      <c r="A68" s="2" t="s">
        <v>412</v>
      </c>
      <c r="B68" s="39" t="s">
        <v>360</v>
      </c>
      <c r="C68" s="39" t="s">
        <v>361</v>
      </c>
      <c r="D68" s="39" t="s">
        <v>2382</v>
      </c>
      <c r="E68" s="39" t="s">
        <v>7</v>
      </c>
      <c r="F68" s="39" t="s">
        <v>397</v>
      </c>
      <c r="G68" s="2" t="s">
        <v>85</v>
      </c>
      <c r="H68" s="39" t="s">
        <v>409</v>
      </c>
      <c r="I68" s="40">
        <v>52.744</v>
      </c>
      <c r="J68" s="22">
        <v>19.2339</v>
      </c>
      <c r="K68" s="22">
        <v>73.12755</v>
      </c>
      <c r="L68" s="2" t="s">
        <v>66</v>
      </c>
      <c r="N68" s="2" t="s">
        <v>67</v>
      </c>
      <c r="O68" s="30" t="s">
        <v>68</v>
      </c>
      <c r="Q68" s="39">
        <v>0.0</v>
      </c>
      <c r="R68" s="39">
        <v>0.0</v>
      </c>
      <c r="S68" s="39">
        <v>1.0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1.0</v>
      </c>
      <c r="Z68" s="39" t="s">
        <v>413</v>
      </c>
      <c r="AA68" s="30" t="s">
        <v>97</v>
      </c>
      <c r="AC68" s="39">
        <v>200.0</v>
      </c>
      <c r="AE68" s="39">
        <v>1.0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2382</v>
      </c>
      <c r="B2" s="39" t="s">
        <v>2485</v>
      </c>
      <c r="C2" s="39" t="s">
        <v>397</v>
      </c>
      <c r="D2" s="39" t="s">
        <v>2486</v>
      </c>
      <c r="E2" s="39" t="s">
        <v>2487</v>
      </c>
      <c r="H2" s="39">
        <v>75.0</v>
      </c>
      <c r="M2" s="62" t="s">
        <v>1437</v>
      </c>
      <c r="O2" s="39" t="s">
        <v>2386</v>
      </c>
    </row>
    <row r="3">
      <c r="A3" s="39" t="s">
        <v>2382</v>
      </c>
      <c r="B3" s="39" t="s">
        <v>2485</v>
      </c>
      <c r="C3" s="39" t="s">
        <v>397</v>
      </c>
      <c r="D3" s="39" t="s">
        <v>2488</v>
      </c>
      <c r="E3" s="39" t="s">
        <v>2489</v>
      </c>
      <c r="F3" s="39">
        <v>119.396</v>
      </c>
      <c r="G3" s="39">
        <v>119.096</v>
      </c>
      <c r="H3" s="39">
        <v>75.0</v>
      </c>
      <c r="I3" s="72">
        <v>19.64062</v>
      </c>
      <c r="J3" s="72">
        <v>73.46943</v>
      </c>
      <c r="K3" s="73">
        <v>19.6380319</v>
      </c>
      <c r="L3" s="73">
        <v>73.4686661</v>
      </c>
      <c r="M3" s="62" t="s">
        <v>2490</v>
      </c>
      <c r="O3" s="39" t="s">
        <v>2386</v>
      </c>
    </row>
    <row r="4">
      <c r="A4" s="39" t="s">
        <v>2382</v>
      </c>
      <c r="B4" s="39" t="s">
        <v>2485</v>
      </c>
      <c r="C4" s="39" t="s">
        <v>397</v>
      </c>
      <c r="D4" s="39" t="s">
        <v>2491</v>
      </c>
      <c r="E4" s="39" t="s">
        <v>2492</v>
      </c>
      <c r="H4" s="39">
        <v>100.0</v>
      </c>
      <c r="I4" s="72">
        <v>19.60852</v>
      </c>
      <c r="J4" s="72">
        <v>73.40441</v>
      </c>
      <c r="K4" s="73">
        <v>19.5990991</v>
      </c>
      <c r="L4" s="73">
        <v>73.3995623</v>
      </c>
      <c r="M4" s="62" t="s">
        <v>1437</v>
      </c>
      <c r="O4" s="39" t="s">
        <v>2493</v>
      </c>
    </row>
    <row r="5">
      <c r="A5" s="39" t="s">
        <v>2382</v>
      </c>
      <c r="B5" s="39" t="s">
        <v>2485</v>
      </c>
      <c r="C5" s="39" t="s">
        <v>397</v>
      </c>
      <c r="D5" s="39" t="s">
        <v>2494</v>
      </c>
      <c r="E5" s="39" t="s">
        <v>2495</v>
      </c>
      <c r="H5" s="39">
        <v>80.0</v>
      </c>
      <c r="I5" s="72">
        <v>19.58285</v>
      </c>
      <c r="J5" s="72">
        <v>73.39632</v>
      </c>
      <c r="K5" s="73">
        <v>19.577882</v>
      </c>
      <c r="L5" s="73">
        <v>73.3826266</v>
      </c>
      <c r="M5" s="62" t="s">
        <v>1437</v>
      </c>
      <c r="O5" s="39" t="s">
        <v>2403</v>
      </c>
    </row>
    <row r="6">
      <c r="A6" s="39" t="s">
        <v>2382</v>
      </c>
      <c r="B6" s="39" t="s">
        <v>2485</v>
      </c>
      <c r="C6" s="39" t="s">
        <v>397</v>
      </c>
      <c r="D6" s="39" t="s">
        <v>2496</v>
      </c>
      <c r="E6" s="39" t="s">
        <v>2497</v>
      </c>
      <c r="H6" s="39">
        <v>80.0</v>
      </c>
      <c r="I6" s="72">
        <v>19.5089756</v>
      </c>
      <c r="J6" s="72">
        <v>73.3271064</v>
      </c>
      <c r="K6" s="73">
        <v>19.577882</v>
      </c>
      <c r="L6" s="73">
        <v>73.3826266</v>
      </c>
      <c r="M6" s="62" t="s">
        <v>2498</v>
      </c>
      <c r="O6" s="39" t="s">
        <v>2418</v>
      </c>
    </row>
    <row r="7">
      <c r="A7" s="39" t="s">
        <v>2382</v>
      </c>
      <c r="B7" s="39" t="s">
        <v>2485</v>
      </c>
      <c r="C7" s="39" t="s">
        <v>397</v>
      </c>
      <c r="D7" s="39" t="s">
        <v>2499</v>
      </c>
      <c r="E7" s="39" t="s">
        <v>2500</v>
      </c>
      <c r="H7" s="39">
        <v>85.0</v>
      </c>
      <c r="I7" s="40">
        <v>19.48471</v>
      </c>
      <c r="J7" s="40">
        <v>73.31738</v>
      </c>
      <c r="K7" s="40">
        <v>19.4778422785491</v>
      </c>
      <c r="L7" s="40">
        <v>73.3122007237818</v>
      </c>
      <c r="M7" s="62" t="s">
        <v>1437</v>
      </c>
      <c r="O7" s="39" t="s">
        <v>2501</v>
      </c>
    </row>
    <row r="8">
      <c r="A8" s="39" t="s">
        <v>2382</v>
      </c>
      <c r="B8" s="39" t="s">
        <v>2485</v>
      </c>
      <c r="C8" s="39" t="s">
        <v>397</v>
      </c>
      <c r="D8" s="39" t="s">
        <v>2502</v>
      </c>
      <c r="E8" s="39" t="s">
        <v>2422</v>
      </c>
      <c r="H8" s="39">
        <v>100.0</v>
      </c>
      <c r="I8" s="72">
        <v>19.47625</v>
      </c>
      <c r="J8" s="72">
        <v>73.30926</v>
      </c>
      <c r="K8" s="73">
        <v>19.477642</v>
      </c>
      <c r="L8" s="73">
        <v>73.3121942</v>
      </c>
      <c r="M8" s="62" t="s">
        <v>1437</v>
      </c>
      <c r="O8" s="39" t="s">
        <v>2503</v>
      </c>
    </row>
    <row r="9">
      <c r="A9" s="39" t="s">
        <v>2382</v>
      </c>
      <c r="B9" s="39" t="s">
        <v>2485</v>
      </c>
      <c r="C9" s="39" t="s">
        <v>397</v>
      </c>
      <c r="D9" s="39" t="s">
        <v>2434</v>
      </c>
      <c r="E9" s="39" t="s">
        <v>2504</v>
      </c>
      <c r="H9" s="39">
        <v>75.0</v>
      </c>
      <c r="I9" s="40">
        <v>19.40914</v>
      </c>
      <c r="J9" s="40">
        <v>73.27291</v>
      </c>
      <c r="K9" s="73">
        <v>19.4044105</v>
      </c>
      <c r="L9" s="73">
        <v>73.2645939</v>
      </c>
      <c r="M9" s="62" t="s">
        <v>1437</v>
      </c>
      <c r="O9" s="39" t="s">
        <v>2436</v>
      </c>
    </row>
    <row r="10">
      <c r="A10" s="39" t="s">
        <v>2382</v>
      </c>
      <c r="B10" s="39" t="s">
        <v>2485</v>
      </c>
      <c r="C10" s="39" t="s">
        <v>397</v>
      </c>
      <c r="D10" s="39" t="s">
        <v>2505</v>
      </c>
      <c r="E10" s="39" t="s">
        <v>2448</v>
      </c>
      <c r="H10" s="39">
        <v>85.0</v>
      </c>
      <c r="I10" s="72">
        <v>19.35604</v>
      </c>
      <c r="J10" s="72">
        <v>73.21705</v>
      </c>
      <c r="K10" s="73">
        <v>19.348463</v>
      </c>
      <c r="L10" s="73">
        <v>73.2125803</v>
      </c>
      <c r="M10" s="62" t="s">
        <v>2506</v>
      </c>
      <c r="O10" s="39" t="s">
        <v>2446</v>
      </c>
    </row>
    <row r="11">
      <c r="A11" s="39" t="s">
        <v>2382</v>
      </c>
      <c r="B11" s="39" t="s">
        <v>2485</v>
      </c>
      <c r="C11" s="39" t="s">
        <v>397</v>
      </c>
      <c r="D11" s="39" t="s">
        <v>2507</v>
      </c>
      <c r="E11" s="39" t="s">
        <v>2508</v>
      </c>
      <c r="H11" s="39">
        <v>90.0</v>
      </c>
      <c r="I11" s="72">
        <v>19.3002</v>
      </c>
      <c r="J11" s="72">
        <v>73.20534</v>
      </c>
      <c r="K11" s="72">
        <v>19.29036</v>
      </c>
      <c r="L11" s="72">
        <v>73.2015928</v>
      </c>
      <c r="M11" s="62" t="s">
        <v>2509</v>
      </c>
      <c r="O11" s="39" t="s">
        <v>2457</v>
      </c>
    </row>
    <row r="12">
      <c r="A12" s="39" t="s">
        <v>2382</v>
      </c>
      <c r="B12" s="39" t="s">
        <v>2485</v>
      </c>
      <c r="C12" s="39" t="s">
        <v>397</v>
      </c>
      <c r="D12" s="39" t="s">
        <v>2510</v>
      </c>
      <c r="E12" s="39" t="s">
        <v>2511</v>
      </c>
      <c r="H12" s="39">
        <v>85.0</v>
      </c>
      <c r="I12" s="72">
        <v>19.28779</v>
      </c>
      <c r="J12" s="72">
        <v>73.20026</v>
      </c>
      <c r="K12" s="73">
        <v>19.2821194</v>
      </c>
      <c r="L12" s="73">
        <v>73.1921491</v>
      </c>
      <c r="M12" s="62" t="s">
        <v>1437</v>
      </c>
      <c r="O12" s="39" t="s">
        <v>2459</v>
      </c>
    </row>
    <row r="13">
      <c r="A13" s="39" t="s">
        <v>2382</v>
      </c>
      <c r="B13" s="39" t="s">
        <v>2485</v>
      </c>
      <c r="C13" s="39" t="s">
        <v>397</v>
      </c>
      <c r="D13" s="39" t="s">
        <v>2512</v>
      </c>
      <c r="E13" s="39" t="s">
        <v>2513</v>
      </c>
      <c r="H13" s="39">
        <v>60.0</v>
      </c>
      <c r="I13" s="72">
        <v>19.23975</v>
      </c>
      <c r="J13" s="72">
        <v>73.14529</v>
      </c>
      <c r="K13" s="73">
        <v>19.2385876</v>
      </c>
      <c r="L13" s="73">
        <v>73.1400029</v>
      </c>
      <c r="M13" s="62" t="s">
        <v>2514</v>
      </c>
      <c r="O13" s="39" t="s">
        <v>2481</v>
      </c>
    </row>
    <row r="15">
      <c r="I15" s="2"/>
      <c r="J15" s="2"/>
    </row>
    <row r="18">
      <c r="I18" s="2"/>
      <c r="J18" s="2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39" t="s">
        <v>377</v>
      </c>
      <c r="B1" s="39" t="s">
        <v>378</v>
      </c>
    </row>
    <row r="2">
      <c r="A2" s="39" t="s">
        <v>2274</v>
      </c>
      <c r="B2" s="39" t="s">
        <v>2381</v>
      </c>
    </row>
    <row r="3">
      <c r="A3" s="39" t="s">
        <v>2272</v>
      </c>
      <c r="B3" s="39" t="s">
        <v>2515</v>
      </c>
    </row>
    <row r="4">
      <c r="A4" s="39" t="s">
        <v>2271</v>
      </c>
      <c r="B4" s="39" t="s">
        <v>2403</v>
      </c>
    </row>
    <row r="5">
      <c r="A5" s="39" t="s">
        <v>2270</v>
      </c>
      <c r="B5" s="39" t="s">
        <v>2410</v>
      </c>
    </row>
    <row r="6">
      <c r="A6" s="39" t="s">
        <v>2269</v>
      </c>
      <c r="B6" s="39" t="s">
        <v>2418</v>
      </c>
    </row>
    <row r="7">
      <c r="A7" s="39" t="s">
        <v>2516</v>
      </c>
      <c r="B7" s="39" t="s">
        <v>2426</v>
      </c>
    </row>
    <row r="8">
      <c r="A8" s="39" t="s">
        <v>2266</v>
      </c>
      <c r="B8" s="39" t="s">
        <v>2436</v>
      </c>
    </row>
    <row r="9">
      <c r="A9" s="39" t="s">
        <v>2265</v>
      </c>
      <c r="B9" s="39" t="s">
        <v>2446</v>
      </c>
    </row>
    <row r="10">
      <c r="A10" s="39" t="s">
        <v>2517</v>
      </c>
      <c r="B10" s="39" t="s">
        <v>2457</v>
      </c>
    </row>
    <row r="11">
      <c r="A11" s="39" t="s">
        <v>2518</v>
      </c>
      <c r="B11" s="39" t="s">
        <v>2519</v>
      </c>
    </row>
    <row r="12">
      <c r="A12" s="39" t="s">
        <v>2261</v>
      </c>
      <c r="B12" s="39" t="s">
        <v>2520</v>
      </c>
    </row>
    <row r="13">
      <c r="A13" s="39" t="s">
        <v>2521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1835</v>
      </c>
      <c r="B2" s="39" t="s">
        <v>1417</v>
      </c>
      <c r="C2" s="39" t="s">
        <v>1418</v>
      </c>
      <c r="D2" s="39" t="s">
        <v>1770</v>
      </c>
      <c r="E2" s="39" t="s">
        <v>1771</v>
      </c>
      <c r="F2" s="39" t="s">
        <v>64</v>
      </c>
      <c r="G2" s="39" t="s">
        <v>85</v>
      </c>
      <c r="L2" s="39" t="s">
        <v>1685</v>
      </c>
      <c r="M2" s="39" t="s">
        <v>2143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0.0</v>
      </c>
      <c r="W2" s="39">
        <v>0.0</v>
      </c>
      <c r="X2" s="39">
        <v>0.0</v>
      </c>
      <c r="Y2" s="39">
        <v>2.0</v>
      </c>
      <c r="Z2" s="30" t="s">
        <v>1836</v>
      </c>
      <c r="AA2" s="30" t="s">
        <v>315</v>
      </c>
      <c r="AC2" s="39">
        <v>300.0</v>
      </c>
      <c r="AE2" s="39">
        <v>1.0</v>
      </c>
    </row>
    <row r="3">
      <c r="A3" s="39" t="s">
        <v>1837</v>
      </c>
      <c r="B3" s="39" t="s">
        <v>1417</v>
      </c>
      <c r="C3" s="39" t="s">
        <v>1418</v>
      </c>
      <c r="D3" s="39" t="s">
        <v>1770</v>
      </c>
      <c r="E3" s="39" t="s">
        <v>1771</v>
      </c>
      <c r="F3" s="39" t="s">
        <v>64</v>
      </c>
      <c r="G3" s="39" t="s">
        <v>80</v>
      </c>
      <c r="L3" s="39" t="s">
        <v>1685</v>
      </c>
      <c r="M3" s="39" t="s">
        <v>2143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1.0</v>
      </c>
      <c r="Y3" s="39">
        <v>1.0</v>
      </c>
      <c r="Z3" s="30" t="s">
        <v>1838</v>
      </c>
      <c r="AA3" s="30" t="s">
        <v>411</v>
      </c>
      <c r="AE3" s="39">
        <v>1.0</v>
      </c>
    </row>
    <row r="4">
      <c r="A4" s="39" t="s">
        <v>1839</v>
      </c>
      <c r="B4" s="39" t="s">
        <v>1417</v>
      </c>
      <c r="C4" s="39" t="s">
        <v>1418</v>
      </c>
      <c r="D4" s="39" t="s">
        <v>1770</v>
      </c>
      <c r="E4" s="39" t="s">
        <v>1771</v>
      </c>
      <c r="F4" s="39" t="s">
        <v>64</v>
      </c>
      <c r="G4" s="39" t="s">
        <v>76</v>
      </c>
      <c r="L4" s="39" t="s">
        <v>1685</v>
      </c>
      <c r="M4" s="39" t="s">
        <v>2143</v>
      </c>
      <c r="N4" s="39" t="s">
        <v>81</v>
      </c>
      <c r="O4" s="39" t="s">
        <v>68</v>
      </c>
      <c r="Q4" s="39">
        <v>1.0</v>
      </c>
      <c r="R4" s="39">
        <v>0.0</v>
      </c>
      <c r="S4" s="39">
        <v>0.0</v>
      </c>
      <c r="T4" s="39">
        <v>0.0</v>
      </c>
      <c r="U4" s="39">
        <v>0.0</v>
      </c>
      <c r="V4" s="39">
        <v>0.0</v>
      </c>
      <c r="W4" s="39">
        <v>1.0</v>
      </c>
      <c r="X4" s="39">
        <v>2.0</v>
      </c>
      <c r="Y4" s="39">
        <v>0.0</v>
      </c>
      <c r="Z4" s="30" t="s">
        <v>1840</v>
      </c>
      <c r="AA4" s="30" t="s">
        <v>78</v>
      </c>
      <c r="AE4" s="39">
        <v>1.0</v>
      </c>
    </row>
    <row r="5">
      <c r="A5" s="39" t="s">
        <v>1841</v>
      </c>
      <c r="B5" s="39" t="s">
        <v>1417</v>
      </c>
      <c r="C5" s="39" t="s">
        <v>1418</v>
      </c>
      <c r="D5" s="39" t="s">
        <v>1770</v>
      </c>
      <c r="E5" s="39" t="s">
        <v>1771</v>
      </c>
      <c r="F5" s="39" t="s">
        <v>64</v>
      </c>
      <c r="G5" s="39" t="s">
        <v>1691</v>
      </c>
      <c r="L5" s="39" t="s">
        <v>1685</v>
      </c>
      <c r="M5" s="39" t="s">
        <v>2143</v>
      </c>
      <c r="N5" s="39" t="s">
        <v>1842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1.0</v>
      </c>
      <c r="Y5" s="39">
        <v>1.0</v>
      </c>
      <c r="Z5" s="30" t="s">
        <v>1838</v>
      </c>
      <c r="AA5" s="30" t="s">
        <v>411</v>
      </c>
      <c r="AE5" s="39">
        <v>1.0</v>
      </c>
    </row>
    <row r="6">
      <c r="A6" s="39" t="s">
        <v>1843</v>
      </c>
      <c r="B6" s="39" t="s">
        <v>1417</v>
      </c>
      <c r="C6" s="39" t="s">
        <v>1418</v>
      </c>
      <c r="D6" s="39" t="s">
        <v>1770</v>
      </c>
      <c r="E6" s="39" t="s">
        <v>1771</v>
      </c>
      <c r="F6" s="39" t="s">
        <v>64</v>
      </c>
      <c r="G6" s="39" t="s">
        <v>1844</v>
      </c>
      <c r="I6" s="40">
        <v>68.4</v>
      </c>
      <c r="L6" s="39" t="s">
        <v>1685</v>
      </c>
      <c r="M6" s="39" t="s">
        <v>2143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2.0</v>
      </c>
      <c r="Y6" s="39">
        <v>0.0</v>
      </c>
      <c r="Z6" s="30" t="s">
        <v>1840</v>
      </c>
      <c r="AA6" s="30" t="s">
        <v>78</v>
      </c>
      <c r="AE6" s="39">
        <v>1.0</v>
      </c>
    </row>
    <row r="7">
      <c r="A7" s="51" t="s">
        <v>2522</v>
      </c>
      <c r="B7" s="39" t="s">
        <v>1417</v>
      </c>
      <c r="C7" s="39" t="s">
        <v>1418</v>
      </c>
      <c r="D7" s="39" t="s">
        <v>2523</v>
      </c>
      <c r="E7" s="39" t="s">
        <v>1771</v>
      </c>
      <c r="F7" s="39" t="s">
        <v>64</v>
      </c>
      <c r="G7" s="51" t="s">
        <v>2524</v>
      </c>
      <c r="H7" s="51" t="s">
        <v>2524</v>
      </c>
      <c r="I7" s="40">
        <v>69.3</v>
      </c>
      <c r="L7" s="39" t="s">
        <v>1685</v>
      </c>
      <c r="M7" s="39" t="s">
        <v>2388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500.0</v>
      </c>
      <c r="AE7" s="39">
        <v>1.0</v>
      </c>
    </row>
    <row r="8">
      <c r="A8" s="52" t="s">
        <v>1779</v>
      </c>
      <c r="D8" s="39" t="s">
        <v>2523</v>
      </c>
      <c r="E8" s="39" t="s">
        <v>1771</v>
      </c>
      <c r="F8" s="39" t="s">
        <v>64</v>
      </c>
      <c r="G8" s="51" t="s">
        <v>2525</v>
      </c>
      <c r="H8" s="51" t="s">
        <v>2525</v>
      </c>
      <c r="I8" s="40">
        <v>69.9</v>
      </c>
      <c r="L8" s="39" t="s">
        <v>1716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400.0</v>
      </c>
      <c r="AE8" s="39">
        <v>1.0</v>
      </c>
    </row>
    <row r="9">
      <c r="A9" s="52" t="s">
        <v>2526</v>
      </c>
      <c r="D9" s="39" t="s">
        <v>2523</v>
      </c>
      <c r="E9" s="39" t="s">
        <v>1771</v>
      </c>
      <c r="F9" s="39" t="s">
        <v>64</v>
      </c>
      <c r="G9" s="51" t="s">
        <v>2527</v>
      </c>
      <c r="H9" s="51" t="s">
        <v>2527</v>
      </c>
      <c r="I9" s="40">
        <v>71.3</v>
      </c>
      <c r="L9" s="39" t="s">
        <v>1685</v>
      </c>
      <c r="M9" s="39" t="s">
        <v>2126</v>
      </c>
      <c r="N9" s="39" t="s">
        <v>67</v>
      </c>
      <c r="O9" s="39" t="s">
        <v>68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800.0</v>
      </c>
      <c r="AE9" s="39">
        <v>1.0</v>
      </c>
    </row>
    <row r="10">
      <c r="A10" s="51" t="s">
        <v>2528</v>
      </c>
      <c r="B10" s="39" t="s">
        <v>2529</v>
      </c>
      <c r="C10" s="39" t="s">
        <v>2530</v>
      </c>
      <c r="D10" s="39" t="s">
        <v>2523</v>
      </c>
      <c r="E10" s="39" t="s">
        <v>1771</v>
      </c>
      <c r="F10" s="39" t="s">
        <v>64</v>
      </c>
      <c r="G10" s="51" t="s">
        <v>2531</v>
      </c>
      <c r="H10" s="51" t="s">
        <v>2531</v>
      </c>
      <c r="I10" s="40">
        <v>72.3</v>
      </c>
      <c r="L10" s="39" t="s">
        <v>1685</v>
      </c>
      <c r="M10" s="39" t="s">
        <v>2140</v>
      </c>
      <c r="N10" s="39" t="s">
        <v>67</v>
      </c>
      <c r="O10" s="39" t="s">
        <v>81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1.0</v>
      </c>
      <c r="W10" s="39">
        <v>0.0</v>
      </c>
      <c r="X10" s="39">
        <v>2.0</v>
      </c>
      <c r="Y10" s="39">
        <v>0.0</v>
      </c>
      <c r="Z10" s="30" t="s">
        <v>2532</v>
      </c>
      <c r="AA10" s="30" t="s">
        <v>78</v>
      </c>
      <c r="AC10" s="39">
        <v>500.0</v>
      </c>
      <c r="AE10" s="39">
        <v>1.0</v>
      </c>
    </row>
    <row r="11">
      <c r="A11" s="51" t="s">
        <v>2533</v>
      </c>
      <c r="B11" s="39" t="s">
        <v>2529</v>
      </c>
      <c r="C11" s="39" t="s">
        <v>2530</v>
      </c>
      <c r="D11" s="39" t="s">
        <v>2523</v>
      </c>
      <c r="E11" s="39" t="s">
        <v>1771</v>
      </c>
      <c r="F11" s="39" t="s">
        <v>64</v>
      </c>
      <c r="G11" s="51" t="s">
        <v>2534</v>
      </c>
      <c r="H11" s="51" t="s">
        <v>2534</v>
      </c>
      <c r="I11" s="40">
        <v>73.5</v>
      </c>
      <c r="L11" s="39" t="s">
        <v>1685</v>
      </c>
      <c r="M11" s="39" t="s">
        <v>2143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700.0</v>
      </c>
      <c r="AE11" s="39">
        <v>1.0</v>
      </c>
    </row>
    <row r="12">
      <c r="A12" s="51" t="s">
        <v>2535</v>
      </c>
      <c r="B12" s="39" t="s">
        <v>2529</v>
      </c>
      <c r="C12" s="39" t="s">
        <v>2530</v>
      </c>
      <c r="D12" s="39" t="s">
        <v>2523</v>
      </c>
      <c r="E12" s="39" t="s">
        <v>1771</v>
      </c>
      <c r="F12" s="39" t="s">
        <v>64</v>
      </c>
      <c r="G12" s="51" t="s">
        <v>2536</v>
      </c>
      <c r="H12" s="51" t="s">
        <v>2536</v>
      </c>
      <c r="L12" s="39" t="s">
        <v>1685</v>
      </c>
      <c r="M12" s="39" t="s">
        <v>2537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700.0</v>
      </c>
      <c r="AE12" s="39">
        <v>1.0</v>
      </c>
    </row>
    <row r="13">
      <c r="A13" s="51" t="s">
        <v>2538</v>
      </c>
      <c r="B13" s="39" t="s">
        <v>2529</v>
      </c>
      <c r="C13" s="39" t="s">
        <v>2530</v>
      </c>
      <c r="D13" s="39" t="s">
        <v>2523</v>
      </c>
      <c r="E13" s="39" t="s">
        <v>1771</v>
      </c>
      <c r="F13" s="39" t="s">
        <v>64</v>
      </c>
      <c r="G13" s="51" t="s">
        <v>2539</v>
      </c>
      <c r="H13" s="51" t="s">
        <v>2539</v>
      </c>
      <c r="I13" s="40">
        <v>73.9</v>
      </c>
      <c r="K13" s="39" t="s">
        <v>2540</v>
      </c>
      <c r="L13" s="39" t="s">
        <v>1685</v>
      </c>
      <c r="M13" s="39" t="s">
        <v>2388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500.0</v>
      </c>
      <c r="AE13" s="39">
        <v>1.0</v>
      </c>
    </row>
    <row r="14">
      <c r="A14" s="52" t="s">
        <v>2541</v>
      </c>
      <c r="D14" s="39" t="s">
        <v>2523</v>
      </c>
      <c r="E14" s="39" t="s">
        <v>1771</v>
      </c>
      <c r="F14" s="39" t="s">
        <v>64</v>
      </c>
      <c r="G14" s="2"/>
      <c r="H14" s="2"/>
      <c r="I14" s="40">
        <v>75.0</v>
      </c>
      <c r="L14" s="39" t="s">
        <v>1716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500.0</v>
      </c>
      <c r="AE14" s="39">
        <v>1.0</v>
      </c>
    </row>
    <row r="15">
      <c r="A15" s="51" t="s">
        <v>2213</v>
      </c>
      <c r="D15" s="39" t="s">
        <v>2523</v>
      </c>
      <c r="E15" s="39" t="s">
        <v>1771</v>
      </c>
      <c r="F15" s="39" t="s">
        <v>64</v>
      </c>
      <c r="G15" s="51" t="s">
        <v>1922</v>
      </c>
      <c r="H15" s="51" t="s">
        <v>1922</v>
      </c>
      <c r="I15" s="40">
        <v>80.0</v>
      </c>
      <c r="L15" s="39" t="s">
        <v>2126</v>
      </c>
      <c r="M15" s="39" t="s">
        <v>2542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450.0</v>
      </c>
      <c r="AE15" s="39">
        <v>1.0</v>
      </c>
    </row>
    <row r="16">
      <c r="A16" s="52" t="s">
        <v>2543</v>
      </c>
      <c r="D16" s="39" t="s">
        <v>2523</v>
      </c>
      <c r="E16" s="39" t="s">
        <v>1771</v>
      </c>
      <c r="F16" s="39" t="s">
        <v>64</v>
      </c>
      <c r="G16" s="51" t="s">
        <v>2544</v>
      </c>
      <c r="H16" s="51" t="s">
        <v>2544</v>
      </c>
      <c r="I16" s="40">
        <v>81.1</v>
      </c>
      <c r="L16" s="39" t="s">
        <v>1716</v>
      </c>
      <c r="N16" s="39" t="s">
        <v>67</v>
      </c>
      <c r="O16" s="39" t="s">
        <v>67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300.0</v>
      </c>
      <c r="AE16" s="39">
        <v>1.0</v>
      </c>
    </row>
    <row r="17">
      <c r="A17" s="51" t="s">
        <v>2545</v>
      </c>
      <c r="B17" s="39" t="s">
        <v>2546</v>
      </c>
      <c r="C17" s="39" t="s">
        <v>2547</v>
      </c>
      <c r="D17" s="39" t="s">
        <v>2523</v>
      </c>
      <c r="E17" s="39" t="s">
        <v>1771</v>
      </c>
      <c r="F17" s="39" t="s">
        <v>64</v>
      </c>
      <c r="G17" s="51" t="s">
        <v>2544</v>
      </c>
      <c r="H17" s="51" t="s">
        <v>2544</v>
      </c>
      <c r="I17" s="40">
        <v>82.1</v>
      </c>
      <c r="L17" s="39" t="s">
        <v>1685</v>
      </c>
      <c r="M17" s="39" t="s">
        <v>2140</v>
      </c>
      <c r="N17" s="39" t="s">
        <v>67</v>
      </c>
      <c r="O17" s="39" t="s">
        <v>81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1.0</v>
      </c>
      <c r="W17" s="39">
        <v>0.0</v>
      </c>
      <c r="X17" s="39">
        <v>1.0</v>
      </c>
      <c r="Y17" s="39">
        <v>1.0</v>
      </c>
      <c r="Z17" s="30" t="s">
        <v>1935</v>
      </c>
      <c r="AA17" s="30" t="s">
        <v>411</v>
      </c>
      <c r="AC17" s="39">
        <v>300.0</v>
      </c>
      <c r="AE17" s="39">
        <v>1.0</v>
      </c>
    </row>
    <row r="18">
      <c r="A18" s="51" t="s">
        <v>2548</v>
      </c>
      <c r="B18" s="39" t="s">
        <v>2546</v>
      </c>
      <c r="C18" s="39" t="s">
        <v>2547</v>
      </c>
      <c r="D18" s="39" t="s">
        <v>2523</v>
      </c>
      <c r="E18" s="39" t="s">
        <v>1771</v>
      </c>
      <c r="F18" s="39" t="s">
        <v>64</v>
      </c>
      <c r="G18" s="51" t="s">
        <v>2549</v>
      </c>
      <c r="H18" s="51" t="s">
        <v>2549</v>
      </c>
      <c r="I18" s="40">
        <v>83.3</v>
      </c>
      <c r="L18" s="39" t="s">
        <v>1685</v>
      </c>
      <c r="M18" s="39" t="s">
        <v>2143</v>
      </c>
      <c r="N18" s="39" t="s">
        <v>1914</v>
      </c>
      <c r="O18" s="39" t="s">
        <v>81</v>
      </c>
      <c r="Q18" s="39">
        <v>0.0</v>
      </c>
      <c r="R18" s="39">
        <v>0.0</v>
      </c>
      <c r="S18" s="39">
        <v>0.0</v>
      </c>
      <c r="T18" s="39">
        <v>1.0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200.0</v>
      </c>
      <c r="AE18" s="39">
        <v>1.0</v>
      </c>
    </row>
    <row r="19">
      <c r="A19" s="51" t="s">
        <v>2550</v>
      </c>
      <c r="B19" s="39" t="s">
        <v>2546</v>
      </c>
      <c r="C19" s="39" t="s">
        <v>2547</v>
      </c>
      <c r="D19" s="39" t="s">
        <v>2523</v>
      </c>
      <c r="E19" s="39" t="s">
        <v>1771</v>
      </c>
      <c r="F19" s="39" t="s">
        <v>64</v>
      </c>
      <c r="G19" s="51" t="s">
        <v>2551</v>
      </c>
      <c r="H19" s="51" t="s">
        <v>2551</v>
      </c>
      <c r="L19" s="39" t="s">
        <v>1685</v>
      </c>
      <c r="M19" s="39" t="s">
        <v>2537</v>
      </c>
      <c r="N19" s="39" t="s">
        <v>67</v>
      </c>
      <c r="O19" s="39" t="s">
        <v>81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250.0</v>
      </c>
      <c r="AE19" s="39">
        <v>1.0</v>
      </c>
    </row>
    <row r="20">
      <c r="A20" s="51" t="s">
        <v>2552</v>
      </c>
      <c r="B20" s="39" t="s">
        <v>2546</v>
      </c>
      <c r="C20" s="39" t="s">
        <v>2547</v>
      </c>
      <c r="D20" s="39" t="s">
        <v>2523</v>
      </c>
      <c r="E20" s="39" t="s">
        <v>1771</v>
      </c>
      <c r="F20" s="39" t="s">
        <v>64</v>
      </c>
      <c r="G20" s="51" t="s">
        <v>2551</v>
      </c>
      <c r="H20" s="51" t="s">
        <v>2551</v>
      </c>
      <c r="L20" s="39" t="s">
        <v>1685</v>
      </c>
      <c r="M20" s="39" t="s">
        <v>2537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250.0</v>
      </c>
      <c r="AE20" s="39">
        <v>1.0</v>
      </c>
    </row>
    <row r="21">
      <c r="A21" s="51" t="s">
        <v>2553</v>
      </c>
      <c r="B21" s="39" t="s">
        <v>2546</v>
      </c>
      <c r="C21" s="39" t="s">
        <v>2547</v>
      </c>
      <c r="D21" s="39" t="s">
        <v>2523</v>
      </c>
      <c r="E21" s="39" t="s">
        <v>1771</v>
      </c>
      <c r="F21" s="39" t="s">
        <v>64</v>
      </c>
      <c r="G21" s="51" t="s">
        <v>2554</v>
      </c>
      <c r="H21" s="51" t="s">
        <v>2554</v>
      </c>
      <c r="I21" s="40">
        <v>83.7</v>
      </c>
      <c r="L21" s="39" t="s">
        <v>1685</v>
      </c>
      <c r="M21" s="39" t="s">
        <v>2388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300.0</v>
      </c>
      <c r="AE21" s="39">
        <v>1.0</v>
      </c>
    </row>
    <row r="22">
      <c r="A22" s="52" t="s">
        <v>2555</v>
      </c>
      <c r="D22" s="39" t="s">
        <v>2523</v>
      </c>
      <c r="E22" s="39" t="s">
        <v>1771</v>
      </c>
      <c r="F22" s="39" t="s">
        <v>64</v>
      </c>
      <c r="G22" s="51" t="s">
        <v>2556</v>
      </c>
      <c r="H22" s="51" t="s">
        <v>2556</v>
      </c>
      <c r="I22" s="40">
        <v>91.0</v>
      </c>
      <c r="L22" s="39" t="s">
        <v>2126</v>
      </c>
      <c r="M22" s="39" t="s">
        <v>2126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600.0</v>
      </c>
      <c r="AE22" s="39">
        <v>1.0</v>
      </c>
    </row>
    <row r="23">
      <c r="A23" s="51" t="s">
        <v>2557</v>
      </c>
      <c r="B23" s="39" t="s">
        <v>2558</v>
      </c>
      <c r="C23" s="39" t="s">
        <v>2559</v>
      </c>
      <c r="D23" s="39" t="s">
        <v>2523</v>
      </c>
      <c r="E23" s="39" t="s">
        <v>1771</v>
      </c>
      <c r="F23" s="39" t="s">
        <v>64</v>
      </c>
      <c r="G23" s="51" t="s">
        <v>2560</v>
      </c>
      <c r="H23" s="51" t="s">
        <v>2560</v>
      </c>
      <c r="I23" s="40">
        <v>92.0</v>
      </c>
      <c r="L23" s="39" t="s">
        <v>1685</v>
      </c>
      <c r="M23" s="39" t="s">
        <v>2140</v>
      </c>
      <c r="N23" s="39" t="s">
        <v>81</v>
      </c>
      <c r="O23" s="39" t="s">
        <v>67</v>
      </c>
      <c r="Q23" s="39">
        <v>1.0</v>
      </c>
      <c r="R23" s="39">
        <v>0.0</v>
      </c>
      <c r="S23" s="39">
        <v>0.0</v>
      </c>
      <c r="T23" s="39">
        <v>0.0</v>
      </c>
      <c r="U23" s="39">
        <v>0.0</v>
      </c>
      <c r="V23" s="39">
        <v>1.0</v>
      </c>
      <c r="W23" s="39">
        <v>0.0</v>
      </c>
      <c r="X23" s="39">
        <v>1.0</v>
      </c>
      <c r="Y23" s="39">
        <v>0.0</v>
      </c>
      <c r="Z23" s="30" t="s">
        <v>1861</v>
      </c>
      <c r="AA23" s="30" t="s">
        <v>115</v>
      </c>
      <c r="AC23" s="39">
        <v>250.0</v>
      </c>
      <c r="AE23" s="39">
        <v>1.0</v>
      </c>
    </row>
    <row r="24">
      <c r="A24" s="51" t="s">
        <v>2561</v>
      </c>
      <c r="B24" s="39" t="s">
        <v>2558</v>
      </c>
      <c r="C24" s="39" t="s">
        <v>2559</v>
      </c>
      <c r="D24" s="39" t="s">
        <v>2523</v>
      </c>
      <c r="E24" s="39" t="s">
        <v>1771</v>
      </c>
      <c r="F24" s="39" t="s">
        <v>64</v>
      </c>
      <c r="G24" s="51" t="s">
        <v>2562</v>
      </c>
      <c r="H24" s="51" t="s">
        <v>2562</v>
      </c>
      <c r="I24" s="40">
        <v>93.2</v>
      </c>
      <c r="L24" s="39" t="s">
        <v>1685</v>
      </c>
      <c r="M24" s="39" t="s">
        <v>2143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E24" s="39">
        <v>1.0</v>
      </c>
    </row>
    <row r="25">
      <c r="A25" s="51" t="s">
        <v>2563</v>
      </c>
      <c r="B25" s="39" t="s">
        <v>2558</v>
      </c>
      <c r="C25" s="39" t="s">
        <v>2559</v>
      </c>
      <c r="D25" s="39" t="s">
        <v>2523</v>
      </c>
      <c r="E25" s="39" t="s">
        <v>1771</v>
      </c>
      <c r="F25" s="39" t="s">
        <v>64</v>
      </c>
      <c r="G25" s="51" t="s">
        <v>2564</v>
      </c>
      <c r="H25" s="51" t="s">
        <v>2564</v>
      </c>
      <c r="L25" s="39" t="s">
        <v>1685</v>
      </c>
      <c r="M25" s="39" t="s">
        <v>2537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600.0</v>
      </c>
      <c r="AE25" s="39">
        <v>1.0</v>
      </c>
    </row>
    <row r="26">
      <c r="A26" s="51" t="s">
        <v>2565</v>
      </c>
      <c r="B26" s="39" t="s">
        <v>2558</v>
      </c>
      <c r="C26" s="39" t="s">
        <v>2559</v>
      </c>
      <c r="D26" s="39" t="s">
        <v>2523</v>
      </c>
      <c r="E26" s="39" t="s">
        <v>1771</v>
      </c>
      <c r="F26" s="39" t="s">
        <v>64</v>
      </c>
      <c r="G26" s="51" t="s">
        <v>2566</v>
      </c>
      <c r="H26" s="51" t="s">
        <v>2566</v>
      </c>
      <c r="I26" s="40">
        <v>93.5</v>
      </c>
      <c r="L26" s="39" t="s">
        <v>1685</v>
      </c>
      <c r="M26" s="39" t="s">
        <v>2388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600.0</v>
      </c>
      <c r="AE26" s="39">
        <v>1.0</v>
      </c>
    </row>
    <row r="27">
      <c r="A27" s="51" t="s">
        <v>2213</v>
      </c>
      <c r="D27" s="39" t="s">
        <v>2523</v>
      </c>
      <c r="E27" s="39" t="s">
        <v>1771</v>
      </c>
      <c r="F27" s="39" t="s">
        <v>64</v>
      </c>
      <c r="G27" s="51" t="s">
        <v>2567</v>
      </c>
      <c r="H27" s="51" t="s">
        <v>2567</v>
      </c>
      <c r="I27" s="40">
        <v>96.9</v>
      </c>
      <c r="L27" s="39" t="s">
        <v>2126</v>
      </c>
      <c r="M27" s="39" t="s">
        <v>2542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700.0</v>
      </c>
      <c r="AE27" s="39">
        <v>1.0</v>
      </c>
    </row>
    <row r="28">
      <c r="A28" s="52" t="s">
        <v>2568</v>
      </c>
      <c r="D28" s="39" t="s">
        <v>2523</v>
      </c>
      <c r="E28" s="39" t="s">
        <v>1771</v>
      </c>
      <c r="F28" s="39" t="s">
        <v>64</v>
      </c>
      <c r="G28" s="51" t="s">
        <v>2569</v>
      </c>
      <c r="H28" s="51" t="s">
        <v>2569</v>
      </c>
      <c r="I28" s="40">
        <v>97.9</v>
      </c>
      <c r="L28" s="39" t="s">
        <v>1716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300.0</v>
      </c>
      <c r="AE28" s="39">
        <v>1.0</v>
      </c>
    </row>
    <row r="29">
      <c r="A29" s="51" t="s">
        <v>2213</v>
      </c>
      <c r="D29" s="39" t="s">
        <v>2523</v>
      </c>
      <c r="E29" s="39" t="s">
        <v>1771</v>
      </c>
      <c r="F29" s="39" t="s">
        <v>64</v>
      </c>
      <c r="G29" s="51" t="s">
        <v>2570</v>
      </c>
      <c r="H29" s="51" t="s">
        <v>2570</v>
      </c>
      <c r="I29" s="40">
        <v>100.8</v>
      </c>
      <c r="L29" s="39" t="s">
        <v>2126</v>
      </c>
      <c r="M29" s="39" t="s">
        <v>2126</v>
      </c>
      <c r="N29" s="39" t="s">
        <v>67</v>
      </c>
      <c r="O29" s="39" t="s">
        <v>67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750.0</v>
      </c>
      <c r="AE29" s="39">
        <v>1.0</v>
      </c>
    </row>
    <row r="30">
      <c r="A30" s="51" t="s">
        <v>2571</v>
      </c>
      <c r="B30" s="39" t="s">
        <v>2572</v>
      </c>
      <c r="C30" s="39" t="s">
        <v>2573</v>
      </c>
      <c r="D30" s="39" t="s">
        <v>2523</v>
      </c>
      <c r="E30" s="39" t="s">
        <v>1771</v>
      </c>
      <c r="F30" s="39" t="s">
        <v>64</v>
      </c>
      <c r="G30" s="51" t="s">
        <v>2574</v>
      </c>
      <c r="H30" s="51" t="s">
        <v>2574</v>
      </c>
      <c r="I30" s="40">
        <v>102.3</v>
      </c>
      <c r="L30" s="39" t="s">
        <v>1685</v>
      </c>
      <c r="M30" s="39" t="s">
        <v>2140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1.0</v>
      </c>
      <c r="W30" s="39">
        <v>0.0</v>
      </c>
      <c r="X30" s="39">
        <v>1.0</v>
      </c>
      <c r="Y30" s="39">
        <v>3.0</v>
      </c>
      <c r="Z30" s="30" t="s">
        <v>2575</v>
      </c>
      <c r="AA30" s="30" t="s">
        <v>2576</v>
      </c>
      <c r="AC30" s="39">
        <v>600.0</v>
      </c>
      <c r="AE30" s="39">
        <v>1.0</v>
      </c>
    </row>
    <row r="31">
      <c r="A31" s="51" t="s">
        <v>2577</v>
      </c>
      <c r="B31" s="39" t="s">
        <v>2572</v>
      </c>
      <c r="C31" s="39" t="s">
        <v>2573</v>
      </c>
      <c r="D31" s="39" t="s">
        <v>2523</v>
      </c>
      <c r="E31" s="39" t="s">
        <v>1771</v>
      </c>
      <c r="F31" s="39" t="s">
        <v>64</v>
      </c>
      <c r="G31" s="51" t="s">
        <v>2578</v>
      </c>
      <c r="H31" s="51" t="s">
        <v>2578</v>
      </c>
      <c r="I31" s="40">
        <v>103.8</v>
      </c>
      <c r="L31" s="39" t="s">
        <v>1685</v>
      </c>
      <c r="M31" s="39" t="s">
        <v>2143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500.0</v>
      </c>
      <c r="AE31" s="39">
        <v>1.0</v>
      </c>
    </row>
    <row r="32">
      <c r="A32" s="51" t="s">
        <v>2579</v>
      </c>
      <c r="B32" s="39" t="s">
        <v>2572</v>
      </c>
      <c r="C32" s="39" t="s">
        <v>2573</v>
      </c>
      <c r="D32" s="39" t="s">
        <v>2523</v>
      </c>
      <c r="E32" s="39" t="s">
        <v>1771</v>
      </c>
      <c r="F32" s="39" t="s">
        <v>64</v>
      </c>
      <c r="G32" s="51" t="s">
        <v>2580</v>
      </c>
      <c r="H32" s="51" t="s">
        <v>2580</v>
      </c>
      <c r="L32" s="39" t="s">
        <v>1685</v>
      </c>
      <c r="M32" s="39" t="s">
        <v>2537</v>
      </c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E32" s="39">
        <v>1.0</v>
      </c>
    </row>
    <row r="33">
      <c r="A33" s="51" t="s">
        <v>2581</v>
      </c>
      <c r="B33" s="39" t="s">
        <v>2572</v>
      </c>
      <c r="C33" s="39" t="s">
        <v>2573</v>
      </c>
      <c r="D33" s="39" t="s">
        <v>2523</v>
      </c>
      <c r="E33" s="39" t="s">
        <v>1771</v>
      </c>
      <c r="F33" s="39" t="s">
        <v>64</v>
      </c>
      <c r="G33" s="51" t="s">
        <v>2582</v>
      </c>
      <c r="H33" s="51" t="s">
        <v>2582</v>
      </c>
      <c r="L33" s="39" t="s">
        <v>1685</v>
      </c>
      <c r="M33" s="39" t="s">
        <v>2537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1.0</v>
      </c>
      <c r="Y33" s="39">
        <v>0.0</v>
      </c>
      <c r="Z33" s="30" t="s">
        <v>2583</v>
      </c>
      <c r="AA33" s="30" t="s">
        <v>115</v>
      </c>
      <c r="AE33" s="39">
        <v>1.0</v>
      </c>
    </row>
    <row r="34">
      <c r="A34" s="51" t="s">
        <v>2584</v>
      </c>
      <c r="B34" s="39" t="s">
        <v>2572</v>
      </c>
      <c r="C34" s="39" t="s">
        <v>2573</v>
      </c>
      <c r="D34" s="39" t="s">
        <v>2523</v>
      </c>
      <c r="E34" s="39" t="s">
        <v>1771</v>
      </c>
      <c r="F34" s="39" t="s">
        <v>64</v>
      </c>
      <c r="G34" s="51" t="s">
        <v>2585</v>
      </c>
      <c r="H34" s="51" t="s">
        <v>2585</v>
      </c>
      <c r="L34" s="39" t="s">
        <v>1685</v>
      </c>
      <c r="M34" s="39" t="s">
        <v>2537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1.0</v>
      </c>
      <c r="Y34" s="39">
        <v>0.0</v>
      </c>
      <c r="Z34" s="30" t="s">
        <v>2583</v>
      </c>
      <c r="AA34" s="30" t="s">
        <v>115</v>
      </c>
      <c r="AE34" s="39">
        <v>1.0</v>
      </c>
    </row>
    <row r="35">
      <c r="A35" s="51" t="s">
        <v>2586</v>
      </c>
      <c r="B35" s="39" t="s">
        <v>2572</v>
      </c>
      <c r="C35" s="39" t="s">
        <v>2573</v>
      </c>
      <c r="D35" s="39" t="s">
        <v>2523</v>
      </c>
      <c r="E35" s="39" t="s">
        <v>1771</v>
      </c>
      <c r="F35" s="39" t="s">
        <v>64</v>
      </c>
      <c r="G35" s="51" t="s">
        <v>2587</v>
      </c>
      <c r="H35" s="51" t="s">
        <v>2587</v>
      </c>
      <c r="L35" s="39" t="s">
        <v>1685</v>
      </c>
      <c r="M35" s="39" t="s">
        <v>2537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E35" s="39">
        <v>1.0</v>
      </c>
    </row>
    <row r="36">
      <c r="A36" s="51" t="s">
        <v>2588</v>
      </c>
      <c r="B36" s="39" t="s">
        <v>2572</v>
      </c>
      <c r="C36" s="39" t="s">
        <v>2573</v>
      </c>
      <c r="D36" s="39" t="s">
        <v>2523</v>
      </c>
      <c r="E36" s="39" t="s">
        <v>1771</v>
      </c>
      <c r="F36" s="39" t="s">
        <v>64</v>
      </c>
      <c r="G36" s="51" t="s">
        <v>2589</v>
      </c>
      <c r="H36" s="51" t="s">
        <v>2589</v>
      </c>
      <c r="L36" s="39" t="s">
        <v>1685</v>
      </c>
      <c r="M36" s="39" t="s">
        <v>2537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E36" s="39">
        <v>1.0</v>
      </c>
    </row>
    <row r="37">
      <c r="A37" s="51" t="s">
        <v>2590</v>
      </c>
      <c r="B37" s="39" t="s">
        <v>2572</v>
      </c>
      <c r="C37" s="39" t="s">
        <v>2573</v>
      </c>
      <c r="D37" s="39" t="s">
        <v>2523</v>
      </c>
      <c r="E37" s="39" t="s">
        <v>1771</v>
      </c>
      <c r="F37" s="39" t="s">
        <v>64</v>
      </c>
      <c r="G37" s="51" t="s">
        <v>2591</v>
      </c>
      <c r="H37" s="51" t="s">
        <v>2591</v>
      </c>
      <c r="I37" s="40">
        <v>104.2</v>
      </c>
      <c r="L37" s="39" t="s">
        <v>1685</v>
      </c>
      <c r="M37" s="39" t="s">
        <v>2388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450.0</v>
      </c>
      <c r="AE37" s="39">
        <v>1.0</v>
      </c>
    </row>
    <row r="38">
      <c r="A38" s="51" t="s">
        <v>2213</v>
      </c>
      <c r="D38" s="39" t="s">
        <v>2523</v>
      </c>
      <c r="E38" s="39" t="s">
        <v>1771</v>
      </c>
      <c r="F38" s="39" t="s">
        <v>64</v>
      </c>
      <c r="G38" s="51" t="s">
        <v>2592</v>
      </c>
      <c r="H38" s="51" t="s">
        <v>2592</v>
      </c>
      <c r="I38" s="40">
        <v>107.0</v>
      </c>
      <c r="L38" s="39" t="s">
        <v>2126</v>
      </c>
      <c r="M38" s="39" t="s">
        <v>2542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450.0</v>
      </c>
      <c r="AE38" s="39">
        <v>1.0</v>
      </c>
    </row>
    <row r="39">
      <c r="A39" s="52" t="s">
        <v>1945</v>
      </c>
      <c r="D39" s="39" t="s">
        <v>2523</v>
      </c>
      <c r="E39" s="39" t="s">
        <v>1771</v>
      </c>
      <c r="F39" s="39" t="s">
        <v>64</v>
      </c>
      <c r="G39" s="51" t="s">
        <v>2593</v>
      </c>
      <c r="H39" s="51" t="s">
        <v>2593</v>
      </c>
      <c r="I39" s="40">
        <v>107.9</v>
      </c>
      <c r="L39" s="39" t="s">
        <v>1716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700.0</v>
      </c>
      <c r="AE39" s="39">
        <v>1.0</v>
      </c>
    </row>
    <row r="40">
      <c r="A40" s="51" t="s">
        <v>2213</v>
      </c>
      <c r="D40" s="39" t="s">
        <v>2523</v>
      </c>
      <c r="E40" s="39" t="s">
        <v>1771</v>
      </c>
      <c r="F40" s="39" t="s">
        <v>64</v>
      </c>
      <c r="G40" s="51" t="s">
        <v>2594</v>
      </c>
      <c r="H40" s="51" t="s">
        <v>2594</v>
      </c>
      <c r="I40" s="40">
        <v>110.1</v>
      </c>
      <c r="L40" s="39" t="s">
        <v>2126</v>
      </c>
      <c r="M40" s="39" t="s">
        <v>2542</v>
      </c>
      <c r="N40" s="39" t="s">
        <v>67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450.0</v>
      </c>
      <c r="AE40" s="39">
        <v>1.0</v>
      </c>
    </row>
    <row r="41">
      <c r="A41" s="52" t="s">
        <v>1963</v>
      </c>
      <c r="D41" s="39" t="s">
        <v>2523</v>
      </c>
      <c r="E41" s="39" t="s">
        <v>1771</v>
      </c>
      <c r="F41" s="39" t="s">
        <v>64</v>
      </c>
      <c r="G41" s="51" t="s">
        <v>2595</v>
      </c>
      <c r="H41" s="51" t="s">
        <v>2595</v>
      </c>
      <c r="I41" s="40">
        <v>111.1</v>
      </c>
      <c r="L41" s="39" t="s">
        <v>1716</v>
      </c>
      <c r="N41" s="39" t="s">
        <v>67</v>
      </c>
      <c r="O41" s="39" t="s">
        <v>67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300.0</v>
      </c>
      <c r="AE41" s="39">
        <v>1.0</v>
      </c>
    </row>
    <row r="42">
      <c r="A42" s="51" t="s">
        <v>2213</v>
      </c>
      <c r="D42" s="39" t="s">
        <v>2523</v>
      </c>
      <c r="E42" s="39" t="s">
        <v>1771</v>
      </c>
      <c r="F42" s="39" t="s">
        <v>64</v>
      </c>
      <c r="G42" s="51" t="s">
        <v>2596</v>
      </c>
      <c r="H42" s="51" t="s">
        <v>2596</v>
      </c>
      <c r="I42" s="40">
        <v>115.4</v>
      </c>
      <c r="L42" s="39" t="s">
        <v>2126</v>
      </c>
      <c r="M42" s="39" t="s">
        <v>2126</v>
      </c>
      <c r="N42" s="39" t="s">
        <v>67</v>
      </c>
      <c r="O42" s="39" t="s">
        <v>67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450.0</v>
      </c>
      <c r="AE42" s="39">
        <v>1.0</v>
      </c>
    </row>
    <row r="43">
      <c r="A43" s="51" t="s">
        <v>2597</v>
      </c>
      <c r="B43" s="39" t="s">
        <v>2598</v>
      </c>
      <c r="C43" s="39" t="s">
        <v>2599</v>
      </c>
      <c r="D43" s="39" t="s">
        <v>2523</v>
      </c>
      <c r="E43" s="39" t="s">
        <v>1771</v>
      </c>
      <c r="F43" s="39" t="s">
        <v>64</v>
      </c>
      <c r="G43" s="51" t="s">
        <v>2600</v>
      </c>
      <c r="H43" s="51" t="s">
        <v>2600</v>
      </c>
      <c r="I43" s="40">
        <v>116.5</v>
      </c>
      <c r="L43" s="39" t="s">
        <v>1685</v>
      </c>
      <c r="M43" s="39" t="s">
        <v>2140</v>
      </c>
      <c r="N43" s="39" t="s">
        <v>67</v>
      </c>
      <c r="O43" s="39" t="s">
        <v>81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1.0</v>
      </c>
      <c r="W43" s="39">
        <v>0.0</v>
      </c>
      <c r="X43" s="39">
        <v>1.0</v>
      </c>
      <c r="Y43" s="39">
        <v>1.0</v>
      </c>
      <c r="Z43" s="30" t="s">
        <v>1935</v>
      </c>
      <c r="AA43" s="30" t="s">
        <v>411</v>
      </c>
      <c r="AC43" s="39">
        <v>400.0</v>
      </c>
      <c r="AE43" s="39">
        <v>1.0</v>
      </c>
    </row>
    <row r="44">
      <c r="A44" s="51" t="s">
        <v>2601</v>
      </c>
      <c r="B44" s="39" t="s">
        <v>2598</v>
      </c>
      <c r="C44" s="39" t="s">
        <v>2599</v>
      </c>
      <c r="D44" s="39" t="s">
        <v>2523</v>
      </c>
      <c r="E44" s="39" t="s">
        <v>1771</v>
      </c>
      <c r="F44" s="39" t="s">
        <v>64</v>
      </c>
      <c r="G44" s="51" t="s">
        <v>2602</v>
      </c>
      <c r="H44" s="51" t="s">
        <v>2602</v>
      </c>
      <c r="I44" s="40">
        <v>117.6</v>
      </c>
      <c r="L44" s="39" t="s">
        <v>1685</v>
      </c>
      <c r="M44" s="39" t="s">
        <v>2143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600.0</v>
      </c>
      <c r="AE44" s="39">
        <v>1.0</v>
      </c>
    </row>
    <row r="45">
      <c r="A45" s="51" t="s">
        <v>2603</v>
      </c>
      <c r="B45" s="39" t="s">
        <v>2598</v>
      </c>
      <c r="C45" s="39" t="s">
        <v>2599</v>
      </c>
      <c r="D45" s="39" t="s">
        <v>2523</v>
      </c>
      <c r="E45" s="39" t="s">
        <v>1771</v>
      </c>
      <c r="F45" s="39" t="s">
        <v>64</v>
      </c>
      <c r="G45" s="51" t="s">
        <v>2604</v>
      </c>
      <c r="H45" s="51" t="s">
        <v>2604</v>
      </c>
      <c r="L45" s="39" t="s">
        <v>1685</v>
      </c>
      <c r="M45" s="39" t="s">
        <v>2537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C45" s="39">
        <v>600.0</v>
      </c>
      <c r="AE45" s="39">
        <v>1.0</v>
      </c>
    </row>
    <row r="46">
      <c r="A46" s="51" t="s">
        <v>2605</v>
      </c>
      <c r="B46" s="39" t="s">
        <v>2598</v>
      </c>
      <c r="C46" s="39" t="s">
        <v>2599</v>
      </c>
      <c r="D46" s="39" t="s">
        <v>2523</v>
      </c>
      <c r="E46" s="39" t="s">
        <v>1771</v>
      </c>
      <c r="F46" s="39" t="s">
        <v>64</v>
      </c>
      <c r="G46" s="51" t="s">
        <v>2606</v>
      </c>
      <c r="H46" s="51" t="s">
        <v>2606</v>
      </c>
      <c r="L46" s="39" t="s">
        <v>1685</v>
      </c>
      <c r="M46" s="39" t="s">
        <v>2537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E46" s="39">
        <v>1.0</v>
      </c>
    </row>
    <row r="47">
      <c r="A47" s="51" t="s">
        <v>2607</v>
      </c>
      <c r="B47" s="39" t="s">
        <v>2598</v>
      </c>
      <c r="C47" s="39" t="s">
        <v>2599</v>
      </c>
      <c r="D47" s="39" t="s">
        <v>2523</v>
      </c>
      <c r="E47" s="39" t="s">
        <v>1771</v>
      </c>
      <c r="F47" s="39" t="s">
        <v>64</v>
      </c>
      <c r="G47" s="51" t="s">
        <v>2608</v>
      </c>
      <c r="H47" s="51" t="s">
        <v>2608</v>
      </c>
      <c r="I47" s="40">
        <v>118.0</v>
      </c>
      <c r="L47" s="39" t="s">
        <v>1685</v>
      </c>
      <c r="M47" s="39" t="s">
        <v>2388</v>
      </c>
      <c r="N47" s="39" t="s">
        <v>67</v>
      </c>
      <c r="O47" s="39" t="s">
        <v>67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500.0</v>
      </c>
      <c r="AE47" s="39">
        <v>1.0</v>
      </c>
    </row>
    <row r="48">
      <c r="A48" s="52" t="s">
        <v>2609</v>
      </c>
      <c r="D48" s="39" t="s">
        <v>2523</v>
      </c>
      <c r="E48" s="39" t="s">
        <v>1771</v>
      </c>
      <c r="F48" s="39" t="s">
        <v>64</v>
      </c>
      <c r="G48" s="51" t="s">
        <v>2610</v>
      </c>
      <c r="H48" s="51" t="s">
        <v>2610</v>
      </c>
      <c r="I48" s="40">
        <v>118.8</v>
      </c>
      <c r="L48" s="39" t="s">
        <v>1716</v>
      </c>
      <c r="N48" s="39" t="s">
        <v>67</v>
      </c>
      <c r="O48" s="39" t="s">
        <v>67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300.0</v>
      </c>
      <c r="AE48" s="39">
        <v>1.0</v>
      </c>
    </row>
    <row r="49">
      <c r="A49" s="51" t="s">
        <v>2213</v>
      </c>
      <c r="D49" s="39" t="s">
        <v>2523</v>
      </c>
      <c r="E49" s="39" t="s">
        <v>1771</v>
      </c>
      <c r="F49" s="39" t="s">
        <v>64</v>
      </c>
      <c r="G49" s="51" t="s">
        <v>2611</v>
      </c>
      <c r="H49" s="51" t="s">
        <v>2611</v>
      </c>
      <c r="I49" s="40">
        <v>128.2</v>
      </c>
      <c r="L49" s="39" t="s">
        <v>2126</v>
      </c>
      <c r="M49" s="39" t="s">
        <v>2126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800.0</v>
      </c>
      <c r="AE49" s="39">
        <v>1.0</v>
      </c>
    </row>
    <row r="50">
      <c r="A50" s="51" t="s">
        <v>2612</v>
      </c>
      <c r="B50" s="39" t="s">
        <v>2613</v>
      </c>
      <c r="C50" s="39" t="s">
        <v>2614</v>
      </c>
      <c r="D50" s="39" t="s">
        <v>2523</v>
      </c>
      <c r="E50" s="39" t="s">
        <v>1771</v>
      </c>
      <c r="F50" s="39" t="s">
        <v>64</v>
      </c>
      <c r="G50" s="51" t="s">
        <v>2615</v>
      </c>
      <c r="H50" s="51" t="s">
        <v>2615</v>
      </c>
      <c r="I50" s="40">
        <v>129.2</v>
      </c>
      <c r="L50" s="39" t="s">
        <v>1685</v>
      </c>
      <c r="M50" s="39" t="s">
        <v>2140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1.0</v>
      </c>
      <c r="W50" s="39">
        <v>0.0</v>
      </c>
      <c r="X50" s="39">
        <v>3.0</v>
      </c>
      <c r="Y50" s="39">
        <v>1.0</v>
      </c>
      <c r="Z50" s="30" t="s">
        <v>2616</v>
      </c>
      <c r="AA50" s="30" t="s">
        <v>1834</v>
      </c>
      <c r="AC50" s="39">
        <v>500.0</v>
      </c>
      <c r="AE50" s="39">
        <v>1.0</v>
      </c>
    </row>
    <row r="51">
      <c r="A51" s="51" t="s">
        <v>2617</v>
      </c>
      <c r="B51" s="39" t="s">
        <v>2613</v>
      </c>
      <c r="C51" s="39" t="s">
        <v>2614</v>
      </c>
      <c r="D51" s="39" t="s">
        <v>2523</v>
      </c>
      <c r="E51" s="39" t="s">
        <v>1771</v>
      </c>
      <c r="F51" s="39" t="s">
        <v>64</v>
      </c>
      <c r="G51" s="50" t="s">
        <v>2618</v>
      </c>
      <c r="H51" s="50" t="s">
        <v>2618</v>
      </c>
      <c r="I51" s="40">
        <v>130.9</v>
      </c>
      <c r="L51" s="39" t="s">
        <v>1685</v>
      </c>
      <c r="M51" s="39" t="s">
        <v>2143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550.0</v>
      </c>
      <c r="AE51" s="39">
        <v>1.0</v>
      </c>
    </row>
    <row r="52">
      <c r="A52" s="51" t="s">
        <v>2619</v>
      </c>
      <c r="B52" s="39" t="s">
        <v>2613</v>
      </c>
      <c r="C52" s="39" t="s">
        <v>2614</v>
      </c>
      <c r="D52" s="39" t="s">
        <v>2523</v>
      </c>
      <c r="E52" s="39" t="s">
        <v>1771</v>
      </c>
      <c r="F52" s="39" t="s">
        <v>64</v>
      </c>
      <c r="L52" s="39" t="s">
        <v>1685</v>
      </c>
      <c r="M52" s="39" t="s">
        <v>2537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E52" s="39">
        <v>1.0</v>
      </c>
    </row>
    <row r="53">
      <c r="A53" s="51" t="s">
        <v>2620</v>
      </c>
      <c r="B53" s="39" t="s">
        <v>2613</v>
      </c>
      <c r="C53" s="39" t="s">
        <v>2614</v>
      </c>
      <c r="D53" s="39" t="s">
        <v>2523</v>
      </c>
      <c r="E53" s="39" t="s">
        <v>1771</v>
      </c>
      <c r="F53" s="39" t="s">
        <v>64</v>
      </c>
      <c r="L53" s="39" t="s">
        <v>1685</v>
      </c>
      <c r="M53" s="39" t="s">
        <v>2537</v>
      </c>
      <c r="N53" s="39" t="s">
        <v>67</v>
      </c>
      <c r="O53" s="39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E53" s="39">
        <v>1.0</v>
      </c>
    </row>
    <row r="54">
      <c r="A54" s="51" t="s">
        <v>2621</v>
      </c>
      <c r="B54" s="39" t="s">
        <v>2613</v>
      </c>
      <c r="C54" s="39" t="s">
        <v>2614</v>
      </c>
      <c r="D54" s="39" t="s">
        <v>2523</v>
      </c>
      <c r="E54" s="39" t="s">
        <v>1771</v>
      </c>
      <c r="F54" s="39" t="s">
        <v>64</v>
      </c>
      <c r="L54" s="39" t="s">
        <v>1685</v>
      </c>
      <c r="M54" s="39" t="s">
        <v>2537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E54" s="39">
        <v>1.0</v>
      </c>
    </row>
    <row r="55">
      <c r="A55" s="51" t="s">
        <v>2622</v>
      </c>
      <c r="B55" s="39" t="s">
        <v>2613</v>
      </c>
      <c r="C55" s="39" t="s">
        <v>2614</v>
      </c>
      <c r="D55" s="39" t="s">
        <v>2523</v>
      </c>
      <c r="E55" s="39" t="s">
        <v>1771</v>
      </c>
      <c r="F55" s="39" t="s">
        <v>64</v>
      </c>
      <c r="G55" s="51" t="s">
        <v>2623</v>
      </c>
      <c r="H55" s="51" t="s">
        <v>2623</v>
      </c>
      <c r="I55" s="40">
        <v>131.2</v>
      </c>
      <c r="L55" s="39" t="s">
        <v>1685</v>
      </c>
      <c r="M55" s="39" t="s">
        <v>2388</v>
      </c>
      <c r="N55" s="39" t="s">
        <v>67</v>
      </c>
      <c r="O55" s="39" t="s">
        <v>81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300.0</v>
      </c>
      <c r="AE55" s="39">
        <v>1.0</v>
      </c>
    </row>
    <row r="56">
      <c r="A56" s="52" t="s">
        <v>2147</v>
      </c>
      <c r="B56" s="39" t="s">
        <v>2613</v>
      </c>
      <c r="C56" s="39" t="s">
        <v>2614</v>
      </c>
      <c r="D56" s="39" t="s">
        <v>2523</v>
      </c>
      <c r="E56" s="39" t="s">
        <v>1771</v>
      </c>
      <c r="F56" s="39" t="s">
        <v>64</v>
      </c>
      <c r="G56" s="51" t="s">
        <v>2624</v>
      </c>
      <c r="H56" s="51" t="s">
        <v>2624</v>
      </c>
      <c r="I56" s="40">
        <v>136.6</v>
      </c>
      <c r="L56" s="39" t="s">
        <v>2126</v>
      </c>
      <c r="M56" s="39" t="s">
        <v>2149</v>
      </c>
      <c r="N56" s="39" t="s">
        <v>67</v>
      </c>
      <c r="O56" s="39" t="s">
        <v>68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400.0</v>
      </c>
      <c r="AE56" s="39">
        <v>1.0</v>
      </c>
    </row>
    <row r="57">
      <c r="A57" s="52" t="s">
        <v>2133</v>
      </c>
      <c r="D57" s="39" t="s">
        <v>2523</v>
      </c>
      <c r="E57" s="39" t="s">
        <v>1771</v>
      </c>
      <c r="F57" s="39" t="s">
        <v>64</v>
      </c>
      <c r="G57" s="51" t="s">
        <v>2625</v>
      </c>
      <c r="H57" s="51" t="s">
        <v>2625</v>
      </c>
      <c r="I57" s="40">
        <v>137.6</v>
      </c>
      <c r="L57" s="39" t="s">
        <v>2133</v>
      </c>
      <c r="M57" s="39" t="s">
        <v>2133</v>
      </c>
      <c r="N57" s="39" t="s">
        <v>67</v>
      </c>
      <c r="O57" s="39" t="s">
        <v>67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800.0</v>
      </c>
      <c r="AE57" s="39">
        <v>1.0</v>
      </c>
    </row>
    <row r="58">
      <c r="A58" s="51" t="s">
        <v>2213</v>
      </c>
      <c r="D58" s="39" t="s">
        <v>2523</v>
      </c>
      <c r="E58" s="39" t="s">
        <v>1771</v>
      </c>
      <c r="F58" s="39" t="s">
        <v>64</v>
      </c>
      <c r="G58" s="51" t="s">
        <v>2626</v>
      </c>
      <c r="H58" s="51" t="s">
        <v>2626</v>
      </c>
      <c r="I58" s="40">
        <v>140.5</v>
      </c>
      <c r="L58" s="39" t="s">
        <v>2126</v>
      </c>
      <c r="M58" s="39" t="s">
        <v>2126</v>
      </c>
      <c r="N58" s="39" t="s">
        <v>67</v>
      </c>
      <c r="O58" s="39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450.0</v>
      </c>
      <c r="AE58" s="39">
        <v>1.0</v>
      </c>
    </row>
    <row r="59">
      <c r="A59" s="52" t="s">
        <v>2127</v>
      </c>
      <c r="D59" s="39" t="s">
        <v>2523</v>
      </c>
      <c r="E59" s="39" t="s">
        <v>1771</v>
      </c>
      <c r="F59" s="39" t="s">
        <v>64</v>
      </c>
      <c r="G59" s="51" t="s">
        <v>2627</v>
      </c>
      <c r="H59" s="51" t="s">
        <v>2627</v>
      </c>
      <c r="I59" s="40">
        <v>141.5</v>
      </c>
      <c r="L59" s="39" t="s">
        <v>1716</v>
      </c>
      <c r="N59" s="39" t="s">
        <v>67</v>
      </c>
      <c r="O59" s="39" t="s">
        <v>68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350.0</v>
      </c>
      <c r="AE59" s="39">
        <v>1.0</v>
      </c>
    </row>
    <row r="60">
      <c r="A60" s="51" t="s">
        <v>2628</v>
      </c>
      <c r="B60" s="39" t="s">
        <v>2629</v>
      </c>
      <c r="C60" s="39" t="s">
        <v>2630</v>
      </c>
      <c r="D60" s="39" t="s">
        <v>2523</v>
      </c>
      <c r="E60" s="39" t="s">
        <v>1771</v>
      </c>
      <c r="F60" s="39" t="s">
        <v>64</v>
      </c>
      <c r="G60" s="51" t="s">
        <v>2631</v>
      </c>
      <c r="H60" s="51" t="s">
        <v>2631</v>
      </c>
      <c r="I60" s="40">
        <v>142.5</v>
      </c>
      <c r="L60" s="39" t="s">
        <v>1685</v>
      </c>
      <c r="M60" s="39" t="s">
        <v>2140</v>
      </c>
      <c r="N60" s="39" t="s">
        <v>67</v>
      </c>
      <c r="O60" s="39" t="s">
        <v>67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1.0</v>
      </c>
      <c r="W60" s="39">
        <v>0.0</v>
      </c>
      <c r="X60" s="39">
        <v>1.0</v>
      </c>
      <c r="Y60" s="39">
        <v>1.0</v>
      </c>
      <c r="Z60" s="30" t="s">
        <v>2632</v>
      </c>
      <c r="AA60" s="30" t="s">
        <v>411</v>
      </c>
      <c r="AC60" s="39">
        <v>500.0</v>
      </c>
      <c r="AE60" s="39">
        <v>1.0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51" t="s">
        <v>2633</v>
      </c>
      <c r="B2" s="39" t="s">
        <v>2629</v>
      </c>
      <c r="C2" s="39" t="s">
        <v>2630</v>
      </c>
      <c r="D2" s="39" t="s">
        <v>2634</v>
      </c>
      <c r="E2" s="39" t="s">
        <v>1684</v>
      </c>
      <c r="F2" s="39" t="s">
        <v>397</v>
      </c>
      <c r="G2" s="51" t="s">
        <v>662</v>
      </c>
      <c r="L2" s="39" t="s">
        <v>1685</v>
      </c>
      <c r="M2" s="39" t="s">
        <v>2143</v>
      </c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0.0</v>
      </c>
      <c r="W2" s="39">
        <v>0.0</v>
      </c>
      <c r="X2" s="39">
        <v>0.0</v>
      </c>
      <c r="Y2" s="39">
        <v>0.0</v>
      </c>
      <c r="AC2" s="39">
        <v>300.0</v>
      </c>
      <c r="AE2" s="39">
        <v>1.0</v>
      </c>
    </row>
    <row r="3">
      <c r="A3" s="51" t="s">
        <v>2635</v>
      </c>
      <c r="B3" s="39" t="s">
        <v>2629</v>
      </c>
      <c r="C3" s="39" t="s">
        <v>2630</v>
      </c>
      <c r="D3" s="39" t="s">
        <v>2634</v>
      </c>
      <c r="E3" s="39" t="s">
        <v>1684</v>
      </c>
      <c r="F3" s="39" t="s">
        <v>397</v>
      </c>
      <c r="G3" s="51" t="s">
        <v>657</v>
      </c>
      <c r="L3" s="39" t="s">
        <v>1685</v>
      </c>
      <c r="M3" s="39" t="s">
        <v>2143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300.0</v>
      </c>
      <c r="AE3" s="39">
        <v>1.0</v>
      </c>
    </row>
    <row r="4">
      <c r="A4" s="51" t="s">
        <v>2636</v>
      </c>
      <c r="B4" s="39" t="s">
        <v>2629</v>
      </c>
      <c r="C4" s="39" t="s">
        <v>2630</v>
      </c>
      <c r="D4" s="39" t="s">
        <v>2634</v>
      </c>
      <c r="E4" s="39" t="s">
        <v>1684</v>
      </c>
      <c r="F4" s="39" t="s">
        <v>397</v>
      </c>
      <c r="G4" s="52" t="s">
        <v>1768</v>
      </c>
      <c r="L4" s="39" t="s">
        <v>1685</v>
      </c>
      <c r="M4" s="39" t="s">
        <v>2537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E4" s="39">
        <v>1.0</v>
      </c>
    </row>
    <row r="5">
      <c r="A5" s="51" t="s">
        <v>2637</v>
      </c>
      <c r="B5" s="39" t="s">
        <v>2629</v>
      </c>
      <c r="C5" s="39" t="s">
        <v>2630</v>
      </c>
      <c r="D5" s="39" t="s">
        <v>2634</v>
      </c>
      <c r="E5" s="39" t="s">
        <v>1684</v>
      </c>
      <c r="F5" s="39" t="s">
        <v>397</v>
      </c>
      <c r="G5" s="52" t="s">
        <v>2638</v>
      </c>
      <c r="L5" s="39" t="s">
        <v>1685</v>
      </c>
      <c r="M5" s="39" t="s">
        <v>2537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E5" s="39">
        <v>1.0</v>
      </c>
    </row>
    <row r="6">
      <c r="A6" s="51" t="s">
        <v>2639</v>
      </c>
      <c r="B6" s="39" t="s">
        <v>2629</v>
      </c>
      <c r="C6" s="39" t="s">
        <v>2630</v>
      </c>
      <c r="D6" s="39" t="s">
        <v>2634</v>
      </c>
      <c r="E6" s="39" t="s">
        <v>1684</v>
      </c>
      <c r="F6" s="39" t="s">
        <v>397</v>
      </c>
      <c r="G6" s="52" t="s">
        <v>2640</v>
      </c>
      <c r="L6" s="39" t="s">
        <v>1685</v>
      </c>
      <c r="M6" s="39" t="s">
        <v>2537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E6" s="39">
        <v>1.0</v>
      </c>
    </row>
    <row r="7">
      <c r="A7" s="51" t="s">
        <v>2641</v>
      </c>
      <c r="B7" s="39" t="s">
        <v>2629</v>
      </c>
      <c r="C7" s="39" t="s">
        <v>2630</v>
      </c>
      <c r="D7" s="39" t="s">
        <v>2634</v>
      </c>
      <c r="E7" s="39" t="s">
        <v>1684</v>
      </c>
      <c r="F7" s="39" t="s">
        <v>397</v>
      </c>
      <c r="G7" s="51" t="s">
        <v>2642</v>
      </c>
      <c r="H7" s="51" t="s">
        <v>2642</v>
      </c>
      <c r="L7" s="39" t="s">
        <v>1685</v>
      </c>
      <c r="M7" s="39" t="s">
        <v>2388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400.0</v>
      </c>
      <c r="AE7" s="39">
        <v>1.0</v>
      </c>
    </row>
    <row r="8">
      <c r="A8" s="52" t="s">
        <v>2127</v>
      </c>
      <c r="D8" s="39" t="s">
        <v>2634</v>
      </c>
      <c r="E8" s="39" t="s">
        <v>1684</v>
      </c>
      <c r="F8" s="39" t="s">
        <v>397</v>
      </c>
      <c r="G8" s="51" t="s">
        <v>2643</v>
      </c>
      <c r="H8" s="51" t="s">
        <v>2643</v>
      </c>
      <c r="L8" s="39" t="s">
        <v>1716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300.0</v>
      </c>
      <c r="AE8" s="39">
        <v>1.0</v>
      </c>
    </row>
    <row r="9">
      <c r="A9" s="52" t="s">
        <v>2147</v>
      </c>
      <c r="D9" s="39" t="s">
        <v>2634</v>
      </c>
      <c r="E9" s="39" t="s">
        <v>1684</v>
      </c>
      <c r="F9" s="39" t="s">
        <v>397</v>
      </c>
      <c r="G9" s="51" t="s">
        <v>2644</v>
      </c>
      <c r="H9" s="51" t="s">
        <v>2644</v>
      </c>
      <c r="L9" s="39" t="s">
        <v>2126</v>
      </c>
      <c r="M9" s="39" t="s">
        <v>2149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500.0</v>
      </c>
      <c r="AE9" s="39">
        <v>1.0</v>
      </c>
    </row>
    <row r="10">
      <c r="A10" s="52" t="s">
        <v>2133</v>
      </c>
      <c r="D10" s="39" t="s">
        <v>2634</v>
      </c>
      <c r="E10" s="39" t="s">
        <v>1684</v>
      </c>
      <c r="F10" s="39" t="s">
        <v>397</v>
      </c>
      <c r="G10" s="51" t="s">
        <v>2645</v>
      </c>
      <c r="H10" s="51" t="s">
        <v>2645</v>
      </c>
      <c r="L10" s="39" t="s">
        <v>2133</v>
      </c>
      <c r="M10" s="39" t="s">
        <v>2133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1.0</v>
      </c>
      <c r="V10" s="39">
        <v>0.0</v>
      </c>
      <c r="W10" s="39">
        <v>0.0</v>
      </c>
      <c r="X10" s="39">
        <v>0.0</v>
      </c>
      <c r="Y10" s="39">
        <v>0.0</v>
      </c>
      <c r="AC10" s="39">
        <v>500.0</v>
      </c>
      <c r="AE10" s="39">
        <v>1.0</v>
      </c>
    </row>
    <row r="11">
      <c r="A11" s="51" t="s">
        <v>2213</v>
      </c>
      <c r="D11" s="39" t="s">
        <v>2634</v>
      </c>
      <c r="E11" s="39" t="s">
        <v>1684</v>
      </c>
      <c r="F11" s="39" t="s">
        <v>397</v>
      </c>
      <c r="G11" s="51" t="s">
        <v>2646</v>
      </c>
      <c r="H11" s="51" t="s">
        <v>2646</v>
      </c>
      <c r="L11" s="39" t="s">
        <v>2126</v>
      </c>
      <c r="M11" s="39" t="s">
        <v>2542</v>
      </c>
      <c r="N11" s="39" t="s">
        <v>67</v>
      </c>
      <c r="O11" s="39" t="s">
        <v>81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500.0</v>
      </c>
      <c r="AE11" s="39">
        <v>1.0</v>
      </c>
    </row>
    <row r="12">
      <c r="A12" s="51" t="s">
        <v>2647</v>
      </c>
      <c r="D12" s="39" t="s">
        <v>2634</v>
      </c>
      <c r="E12" s="39" t="s">
        <v>1684</v>
      </c>
      <c r="F12" s="39" t="s">
        <v>397</v>
      </c>
      <c r="G12" s="51" t="s">
        <v>2648</v>
      </c>
      <c r="H12" s="51" t="s">
        <v>2648</v>
      </c>
      <c r="L12" s="39" t="s">
        <v>111</v>
      </c>
      <c r="M12" s="39" t="s">
        <v>111</v>
      </c>
      <c r="N12" s="39" t="s">
        <v>81</v>
      </c>
      <c r="O12" s="39" t="s">
        <v>68</v>
      </c>
      <c r="Q12" s="39">
        <v>1.0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200.0</v>
      </c>
      <c r="AE12" s="39">
        <v>1.0</v>
      </c>
    </row>
    <row r="13">
      <c r="A13" s="52" t="s">
        <v>2649</v>
      </c>
      <c r="D13" s="39" t="s">
        <v>2634</v>
      </c>
      <c r="E13" s="39" t="s">
        <v>1684</v>
      </c>
      <c r="F13" s="39" t="s">
        <v>397</v>
      </c>
      <c r="G13" s="51" t="s">
        <v>2650</v>
      </c>
      <c r="H13" s="51" t="s">
        <v>2650</v>
      </c>
      <c r="L13" s="39" t="s">
        <v>1716</v>
      </c>
      <c r="N13" s="39" t="s">
        <v>81</v>
      </c>
      <c r="O13" s="39" t="s">
        <v>67</v>
      </c>
      <c r="Q13" s="39">
        <v>1.0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200.0</v>
      </c>
      <c r="AE13" s="39">
        <v>1.0</v>
      </c>
    </row>
    <row r="14">
      <c r="A14" s="51" t="s">
        <v>2213</v>
      </c>
      <c r="D14" s="39" t="s">
        <v>2634</v>
      </c>
      <c r="E14" s="39" t="s">
        <v>1684</v>
      </c>
      <c r="F14" s="39" t="s">
        <v>397</v>
      </c>
      <c r="G14" s="51" t="s">
        <v>2651</v>
      </c>
      <c r="H14" s="51" t="s">
        <v>2651</v>
      </c>
      <c r="L14" s="39" t="s">
        <v>2126</v>
      </c>
      <c r="M14" s="39" t="s">
        <v>2126</v>
      </c>
      <c r="N14" s="39" t="s">
        <v>67</v>
      </c>
      <c r="O14" s="39" t="s">
        <v>81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450.0</v>
      </c>
      <c r="AE14" s="39">
        <v>1.0</v>
      </c>
    </row>
    <row r="15">
      <c r="A15" s="51" t="s">
        <v>2652</v>
      </c>
      <c r="B15" s="39" t="s">
        <v>2613</v>
      </c>
      <c r="C15" s="39" t="s">
        <v>2614</v>
      </c>
      <c r="D15" s="39" t="s">
        <v>2634</v>
      </c>
      <c r="E15" s="39" t="s">
        <v>1684</v>
      </c>
      <c r="F15" s="39" t="s">
        <v>397</v>
      </c>
      <c r="G15" s="51" t="s">
        <v>2653</v>
      </c>
      <c r="H15" s="51" t="s">
        <v>2653</v>
      </c>
      <c r="L15" s="39" t="s">
        <v>1685</v>
      </c>
      <c r="M15" s="39" t="s">
        <v>2140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1.0</v>
      </c>
      <c r="W15" s="39">
        <v>0.0</v>
      </c>
      <c r="X15" s="39">
        <v>1.0</v>
      </c>
      <c r="Y15" s="39">
        <v>2.0</v>
      </c>
      <c r="Z15" s="30" t="s">
        <v>2654</v>
      </c>
      <c r="AA15" s="30" t="s">
        <v>1138</v>
      </c>
      <c r="AC15" s="39">
        <v>650.0</v>
      </c>
      <c r="AE15" s="39">
        <v>1.0</v>
      </c>
    </row>
    <row r="16">
      <c r="A16" s="51" t="s">
        <v>2655</v>
      </c>
      <c r="B16" s="39" t="s">
        <v>2613</v>
      </c>
      <c r="C16" s="39" t="s">
        <v>2614</v>
      </c>
      <c r="D16" s="39" t="s">
        <v>2634</v>
      </c>
      <c r="E16" s="39" t="s">
        <v>1684</v>
      </c>
      <c r="F16" s="39" t="s">
        <v>397</v>
      </c>
      <c r="G16" s="51" t="s">
        <v>2618</v>
      </c>
      <c r="H16" s="51" t="s">
        <v>2618</v>
      </c>
      <c r="L16" s="39" t="s">
        <v>1685</v>
      </c>
      <c r="M16" s="39" t="s">
        <v>2143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600.0</v>
      </c>
      <c r="AE16" s="39">
        <v>1.0</v>
      </c>
    </row>
    <row r="17">
      <c r="A17" s="51" t="s">
        <v>2656</v>
      </c>
      <c r="B17" s="39" t="s">
        <v>2613</v>
      </c>
      <c r="C17" s="39" t="s">
        <v>2614</v>
      </c>
      <c r="D17" s="39" t="s">
        <v>2634</v>
      </c>
      <c r="E17" s="39" t="s">
        <v>1684</v>
      </c>
      <c r="F17" s="39" t="s">
        <v>397</v>
      </c>
      <c r="G17" s="51" t="s">
        <v>2657</v>
      </c>
      <c r="H17" s="51" t="s">
        <v>2657</v>
      </c>
      <c r="L17" s="39" t="s">
        <v>1685</v>
      </c>
      <c r="M17" s="39" t="s">
        <v>2537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1.0</v>
      </c>
      <c r="X17" s="39">
        <v>0.0</v>
      </c>
      <c r="Y17" s="39">
        <v>0.0</v>
      </c>
      <c r="AC17" s="39">
        <v>600.0</v>
      </c>
      <c r="AE17" s="39">
        <v>1.0</v>
      </c>
    </row>
    <row r="18">
      <c r="A18" s="51" t="s">
        <v>2658</v>
      </c>
      <c r="B18" s="39" t="s">
        <v>2613</v>
      </c>
      <c r="C18" s="39" t="s">
        <v>2614</v>
      </c>
      <c r="D18" s="39" t="s">
        <v>2634</v>
      </c>
      <c r="E18" s="39" t="s">
        <v>1684</v>
      </c>
      <c r="F18" s="39" t="s">
        <v>397</v>
      </c>
      <c r="G18" s="51" t="s">
        <v>2659</v>
      </c>
      <c r="H18" s="51" t="s">
        <v>2659</v>
      </c>
      <c r="L18" s="39" t="s">
        <v>1685</v>
      </c>
      <c r="M18" s="39" t="s">
        <v>2388</v>
      </c>
      <c r="N18" s="39" t="s">
        <v>81</v>
      </c>
      <c r="O18" s="39" t="s">
        <v>68</v>
      </c>
      <c r="Q18" s="39">
        <v>1.0</v>
      </c>
      <c r="R18" s="39">
        <v>0.0</v>
      </c>
      <c r="S18" s="39">
        <v>0.0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350.0</v>
      </c>
      <c r="AE18" s="39">
        <v>1.0</v>
      </c>
    </row>
    <row r="19">
      <c r="A19" s="51" t="s">
        <v>2213</v>
      </c>
      <c r="D19" s="39" t="s">
        <v>2634</v>
      </c>
      <c r="E19" s="39" t="s">
        <v>1684</v>
      </c>
      <c r="F19" s="39" t="s">
        <v>397</v>
      </c>
      <c r="G19" s="51" t="s">
        <v>2660</v>
      </c>
      <c r="H19" s="51" t="s">
        <v>2660</v>
      </c>
      <c r="L19" s="39" t="s">
        <v>2126</v>
      </c>
      <c r="M19" s="39" t="s">
        <v>2542</v>
      </c>
      <c r="N19" s="39" t="s">
        <v>67</v>
      </c>
      <c r="O19" s="39" t="s">
        <v>81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550.0</v>
      </c>
      <c r="AE19" s="39">
        <v>1.0</v>
      </c>
    </row>
    <row r="20">
      <c r="A20" s="52" t="s">
        <v>2609</v>
      </c>
      <c r="D20" s="39" t="s">
        <v>2634</v>
      </c>
      <c r="E20" s="39" t="s">
        <v>1684</v>
      </c>
      <c r="F20" s="39" t="s">
        <v>397</v>
      </c>
      <c r="G20" s="51" t="s">
        <v>2661</v>
      </c>
      <c r="H20" s="51" t="s">
        <v>2661</v>
      </c>
      <c r="L20" s="39" t="s">
        <v>1716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450.0</v>
      </c>
      <c r="AE20" s="39">
        <v>1.0</v>
      </c>
    </row>
    <row r="21">
      <c r="A21" s="51" t="s">
        <v>2662</v>
      </c>
      <c r="B21" s="39" t="s">
        <v>2598</v>
      </c>
      <c r="C21" s="39" t="s">
        <v>2599</v>
      </c>
      <c r="D21" s="39" t="s">
        <v>2634</v>
      </c>
      <c r="E21" s="39" t="s">
        <v>1684</v>
      </c>
      <c r="F21" s="39" t="s">
        <v>397</v>
      </c>
      <c r="G21" s="51" t="s">
        <v>2663</v>
      </c>
      <c r="H21" s="51" t="s">
        <v>2663</v>
      </c>
      <c r="L21" s="39" t="s">
        <v>1685</v>
      </c>
      <c r="M21" s="39" t="s">
        <v>2140</v>
      </c>
      <c r="N21" s="39" t="s">
        <v>67</v>
      </c>
      <c r="O21" s="39" t="s">
        <v>81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1.0</v>
      </c>
      <c r="W21" s="39">
        <v>0.0</v>
      </c>
      <c r="X21" s="39">
        <v>1.0</v>
      </c>
      <c r="Y21" s="39">
        <v>0.0</v>
      </c>
      <c r="Z21" s="30" t="s">
        <v>899</v>
      </c>
      <c r="AA21" s="30" t="s">
        <v>115</v>
      </c>
      <c r="AC21" s="39">
        <v>500.0</v>
      </c>
      <c r="AE21" s="39">
        <v>1.0</v>
      </c>
    </row>
    <row r="22">
      <c r="A22" s="51" t="s">
        <v>2664</v>
      </c>
      <c r="B22" s="39" t="s">
        <v>2598</v>
      </c>
      <c r="C22" s="39" t="s">
        <v>2599</v>
      </c>
      <c r="D22" s="39" t="s">
        <v>2634</v>
      </c>
      <c r="E22" s="39" t="s">
        <v>1684</v>
      </c>
      <c r="F22" s="39" t="s">
        <v>397</v>
      </c>
      <c r="G22" s="51" t="s">
        <v>2665</v>
      </c>
      <c r="H22" s="51" t="s">
        <v>2665</v>
      </c>
      <c r="L22" s="39" t="s">
        <v>1685</v>
      </c>
      <c r="M22" s="39" t="s">
        <v>2143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600.0</v>
      </c>
      <c r="AE22" s="39">
        <v>1.0</v>
      </c>
    </row>
    <row r="23">
      <c r="A23" s="51" t="s">
        <v>2666</v>
      </c>
      <c r="B23" s="39" t="s">
        <v>2598</v>
      </c>
      <c r="C23" s="39" t="s">
        <v>2599</v>
      </c>
      <c r="D23" s="39" t="s">
        <v>2634</v>
      </c>
      <c r="E23" s="39" t="s">
        <v>1684</v>
      </c>
      <c r="F23" s="39" t="s">
        <v>397</v>
      </c>
      <c r="G23" s="51" t="s">
        <v>2667</v>
      </c>
      <c r="H23" s="51" t="s">
        <v>2667</v>
      </c>
      <c r="L23" s="39" t="s">
        <v>1685</v>
      </c>
      <c r="M23" s="39" t="s">
        <v>2537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600.0</v>
      </c>
      <c r="AE23" s="39">
        <v>1.0</v>
      </c>
    </row>
    <row r="24">
      <c r="A24" s="51" t="s">
        <v>2668</v>
      </c>
      <c r="B24" s="39" t="s">
        <v>2598</v>
      </c>
      <c r="C24" s="39" t="s">
        <v>2599</v>
      </c>
      <c r="D24" s="39" t="s">
        <v>2634</v>
      </c>
      <c r="E24" s="39" t="s">
        <v>1684</v>
      </c>
      <c r="F24" s="39" t="s">
        <v>397</v>
      </c>
      <c r="G24" s="51" t="s">
        <v>2669</v>
      </c>
      <c r="H24" s="51" t="s">
        <v>2669</v>
      </c>
      <c r="L24" s="39" t="s">
        <v>1685</v>
      </c>
      <c r="M24" s="39" t="s">
        <v>2388</v>
      </c>
      <c r="N24" s="39" t="s">
        <v>67</v>
      </c>
      <c r="O24" s="39" t="s">
        <v>67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250.0</v>
      </c>
      <c r="AE24" s="39">
        <v>1.0</v>
      </c>
    </row>
    <row r="25">
      <c r="A25" s="51" t="s">
        <v>2213</v>
      </c>
      <c r="D25" s="39" t="s">
        <v>2634</v>
      </c>
      <c r="E25" s="39" t="s">
        <v>1684</v>
      </c>
      <c r="F25" s="39" t="s">
        <v>397</v>
      </c>
      <c r="G25" s="51" t="s">
        <v>2670</v>
      </c>
      <c r="H25" s="51" t="s">
        <v>2670</v>
      </c>
      <c r="L25" s="39" t="s">
        <v>2126</v>
      </c>
      <c r="M25" s="39" t="s">
        <v>2542</v>
      </c>
      <c r="N25" s="39" t="s">
        <v>67</v>
      </c>
      <c r="O25" s="39" t="s">
        <v>67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400.0</v>
      </c>
      <c r="AE25" s="39">
        <v>1.0</v>
      </c>
    </row>
    <row r="26">
      <c r="A26" s="52" t="s">
        <v>1963</v>
      </c>
      <c r="D26" s="39" t="s">
        <v>2634</v>
      </c>
      <c r="E26" s="39" t="s">
        <v>1684</v>
      </c>
      <c r="F26" s="39" t="s">
        <v>397</v>
      </c>
      <c r="G26" s="51" t="s">
        <v>2671</v>
      </c>
      <c r="H26" s="51" t="s">
        <v>2671</v>
      </c>
      <c r="L26" s="39" t="s">
        <v>1716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600.0</v>
      </c>
      <c r="AE26" s="39">
        <v>1.0</v>
      </c>
    </row>
    <row r="27">
      <c r="A27" s="51" t="s">
        <v>2213</v>
      </c>
      <c r="D27" s="39" t="s">
        <v>2634</v>
      </c>
      <c r="E27" s="39" t="s">
        <v>1684</v>
      </c>
      <c r="F27" s="39" t="s">
        <v>397</v>
      </c>
      <c r="G27" s="51" t="s">
        <v>2672</v>
      </c>
      <c r="H27" s="51" t="s">
        <v>2672</v>
      </c>
      <c r="L27" s="39" t="s">
        <v>2126</v>
      </c>
      <c r="M27" s="39" t="s">
        <v>2542</v>
      </c>
      <c r="N27" s="39" t="s">
        <v>67</v>
      </c>
      <c r="O27" s="39" t="s">
        <v>81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600.0</v>
      </c>
      <c r="AE27" s="39">
        <v>1.0</v>
      </c>
    </row>
    <row r="28">
      <c r="A28" s="52" t="s">
        <v>1945</v>
      </c>
      <c r="D28" s="39" t="s">
        <v>2634</v>
      </c>
      <c r="E28" s="39" t="s">
        <v>1684</v>
      </c>
      <c r="F28" s="39" t="s">
        <v>397</v>
      </c>
      <c r="G28" s="51" t="s">
        <v>2673</v>
      </c>
      <c r="H28" s="51" t="s">
        <v>2673</v>
      </c>
      <c r="L28" s="39" t="s">
        <v>1716</v>
      </c>
      <c r="N28" s="39" t="s">
        <v>67</v>
      </c>
      <c r="O28" s="39" t="s">
        <v>81</v>
      </c>
      <c r="Q28" s="39">
        <v>0.0</v>
      </c>
      <c r="R28" s="39">
        <v>0.0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250.0</v>
      </c>
      <c r="AE28" s="39">
        <v>1.0</v>
      </c>
    </row>
    <row r="29">
      <c r="A29" s="51" t="s">
        <v>2213</v>
      </c>
      <c r="D29" s="39" t="s">
        <v>2634</v>
      </c>
      <c r="E29" s="39" t="s">
        <v>1684</v>
      </c>
      <c r="F29" s="39" t="s">
        <v>397</v>
      </c>
      <c r="G29" s="51" t="s">
        <v>2406</v>
      </c>
      <c r="H29" s="51" t="s">
        <v>2406</v>
      </c>
      <c r="L29" s="39" t="s">
        <v>2126</v>
      </c>
      <c r="M29" s="39" t="s">
        <v>2126</v>
      </c>
      <c r="N29" s="39" t="s">
        <v>81</v>
      </c>
      <c r="O29" s="39" t="s">
        <v>68</v>
      </c>
      <c r="Q29" s="39">
        <v>1.0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700.0</v>
      </c>
      <c r="AE29" s="39">
        <v>1.0</v>
      </c>
    </row>
    <row r="30">
      <c r="A30" s="51" t="s">
        <v>2674</v>
      </c>
      <c r="B30" s="39" t="s">
        <v>2572</v>
      </c>
      <c r="C30" s="39" t="s">
        <v>2573</v>
      </c>
      <c r="D30" s="39" t="s">
        <v>2634</v>
      </c>
      <c r="E30" s="39" t="s">
        <v>1684</v>
      </c>
      <c r="F30" s="39" t="s">
        <v>397</v>
      </c>
      <c r="G30" s="51" t="s">
        <v>2675</v>
      </c>
      <c r="H30" s="51" t="s">
        <v>2675</v>
      </c>
      <c r="L30" s="39" t="s">
        <v>1685</v>
      </c>
      <c r="M30" s="39" t="s">
        <v>2140</v>
      </c>
      <c r="N30" s="39" t="s">
        <v>67</v>
      </c>
      <c r="O30" s="39" t="s">
        <v>67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1.0</v>
      </c>
      <c r="W30" s="39">
        <v>0.0</v>
      </c>
      <c r="X30" s="39">
        <v>2.0</v>
      </c>
      <c r="Y30" s="39">
        <v>0.0</v>
      </c>
      <c r="Z30" s="30" t="s">
        <v>2676</v>
      </c>
      <c r="AA30" s="30" t="s">
        <v>78</v>
      </c>
      <c r="AC30" s="39">
        <v>250.0</v>
      </c>
      <c r="AE30" s="39">
        <v>1.0</v>
      </c>
    </row>
    <row r="31">
      <c r="A31" s="51" t="s">
        <v>2677</v>
      </c>
      <c r="B31" s="39" t="s">
        <v>2572</v>
      </c>
      <c r="C31" s="39" t="s">
        <v>2573</v>
      </c>
      <c r="D31" s="39" t="s">
        <v>2634</v>
      </c>
      <c r="E31" s="39" t="s">
        <v>1684</v>
      </c>
      <c r="F31" s="39" t="s">
        <v>397</v>
      </c>
      <c r="G31" s="51" t="s">
        <v>2678</v>
      </c>
      <c r="H31" s="51" t="s">
        <v>2678</v>
      </c>
      <c r="L31" s="39" t="s">
        <v>1685</v>
      </c>
      <c r="M31" s="39" t="s">
        <v>2143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1.0</v>
      </c>
      <c r="X31" s="39">
        <v>0.0</v>
      </c>
      <c r="Y31" s="39">
        <v>0.0</v>
      </c>
      <c r="AC31" s="39">
        <v>300.0</v>
      </c>
      <c r="AE31" s="39">
        <v>1.0</v>
      </c>
    </row>
    <row r="32">
      <c r="A32" s="51" t="s">
        <v>2679</v>
      </c>
      <c r="B32" s="39" t="s">
        <v>2572</v>
      </c>
      <c r="C32" s="39" t="s">
        <v>2573</v>
      </c>
      <c r="D32" s="39" t="s">
        <v>2634</v>
      </c>
      <c r="E32" s="39" t="s">
        <v>1684</v>
      </c>
      <c r="F32" s="39" t="s">
        <v>397</v>
      </c>
      <c r="G32" s="51" t="s">
        <v>2678</v>
      </c>
      <c r="H32" s="51" t="s">
        <v>2678</v>
      </c>
      <c r="L32" s="39" t="s">
        <v>1685</v>
      </c>
      <c r="M32" s="39" t="s">
        <v>2537</v>
      </c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1.0</v>
      </c>
      <c r="X32" s="39">
        <v>0.0</v>
      </c>
      <c r="Y32" s="39">
        <v>0.0</v>
      </c>
      <c r="AC32" s="39">
        <v>300.0</v>
      </c>
      <c r="AE32" s="39">
        <v>1.0</v>
      </c>
    </row>
    <row r="33">
      <c r="A33" s="51" t="s">
        <v>2680</v>
      </c>
      <c r="B33" s="39" t="s">
        <v>2572</v>
      </c>
      <c r="C33" s="39" t="s">
        <v>2573</v>
      </c>
      <c r="D33" s="39" t="s">
        <v>2634</v>
      </c>
      <c r="E33" s="39" t="s">
        <v>1684</v>
      </c>
      <c r="F33" s="39" t="s">
        <v>397</v>
      </c>
      <c r="G33" s="51" t="s">
        <v>2681</v>
      </c>
      <c r="H33" s="51" t="s">
        <v>2681</v>
      </c>
      <c r="L33" s="39" t="s">
        <v>1685</v>
      </c>
      <c r="M33" s="39" t="s">
        <v>2537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1.0</v>
      </c>
      <c r="X33" s="39">
        <v>0.0</v>
      </c>
      <c r="Y33" s="39">
        <v>0.0</v>
      </c>
      <c r="AE33" s="39">
        <v>1.0</v>
      </c>
    </row>
    <row r="34">
      <c r="A34" s="51" t="s">
        <v>2682</v>
      </c>
      <c r="B34" s="39" t="s">
        <v>2572</v>
      </c>
      <c r="C34" s="39" t="s">
        <v>2573</v>
      </c>
      <c r="D34" s="39" t="s">
        <v>2634</v>
      </c>
      <c r="E34" s="39" t="s">
        <v>1684</v>
      </c>
      <c r="F34" s="39" t="s">
        <v>397</v>
      </c>
      <c r="G34" s="51" t="s">
        <v>2683</v>
      </c>
      <c r="H34" s="51" t="s">
        <v>2683</v>
      </c>
      <c r="L34" s="39" t="s">
        <v>1685</v>
      </c>
      <c r="M34" s="39" t="s">
        <v>2537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1.0</v>
      </c>
      <c r="X34" s="39">
        <v>0.0</v>
      </c>
      <c r="Y34" s="39">
        <v>0.0</v>
      </c>
      <c r="AE34" s="39">
        <v>1.0</v>
      </c>
    </row>
    <row r="35">
      <c r="A35" s="51" t="s">
        <v>2684</v>
      </c>
      <c r="B35" s="39" t="s">
        <v>2572</v>
      </c>
      <c r="C35" s="39" t="s">
        <v>2573</v>
      </c>
      <c r="D35" s="39" t="s">
        <v>2634</v>
      </c>
      <c r="E35" s="39" t="s">
        <v>1684</v>
      </c>
      <c r="F35" s="39" t="s">
        <v>397</v>
      </c>
      <c r="G35" s="51" t="s">
        <v>2678</v>
      </c>
      <c r="H35" s="51" t="s">
        <v>2678</v>
      </c>
      <c r="L35" s="39" t="s">
        <v>1685</v>
      </c>
      <c r="M35" s="39" t="s">
        <v>2537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1.0</v>
      </c>
      <c r="X35" s="39">
        <v>0.0</v>
      </c>
      <c r="Y35" s="39">
        <v>0.0</v>
      </c>
      <c r="AE35" s="39">
        <v>1.0</v>
      </c>
    </row>
    <row r="36">
      <c r="A36" s="51" t="s">
        <v>2685</v>
      </c>
      <c r="B36" s="39" t="s">
        <v>2572</v>
      </c>
      <c r="C36" s="39" t="s">
        <v>2573</v>
      </c>
      <c r="D36" s="39" t="s">
        <v>2634</v>
      </c>
      <c r="E36" s="39" t="s">
        <v>1684</v>
      </c>
      <c r="F36" s="39" t="s">
        <v>397</v>
      </c>
      <c r="G36" s="51" t="s">
        <v>2686</v>
      </c>
      <c r="H36" s="51" t="s">
        <v>2686</v>
      </c>
      <c r="L36" s="39" t="s">
        <v>1685</v>
      </c>
      <c r="M36" s="39" t="s">
        <v>2388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350.0</v>
      </c>
      <c r="AE36" s="39">
        <v>1.0</v>
      </c>
    </row>
    <row r="37">
      <c r="A37" s="51" t="s">
        <v>2213</v>
      </c>
      <c r="D37" s="39" t="s">
        <v>2634</v>
      </c>
      <c r="E37" s="39" t="s">
        <v>1684</v>
      </c>
      <c r="F37" s="39" t="s">
        <v>397</v>
      </c>
      <c r="G37" s="51" t="s">
        <v>2687</v>
      </c>
      <c r="H37" s="51" t="s">
        <v>2687</v>
      </c>
      <c r="L37" s="39" t="s">
        <v>2126</v>
      </c>
      <c r="M37" s="39" t="s">
        <v>2542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450.0</v>
      </c>
      <c r="AE37" s="39">
        <v>1.0</v>
      </c>
    </row>
    <row r="38">
      <c r="A38" s="52" t="s">
        <v>2568</v>
      </c>
      <c r="D38" s="39" t="s">
        <v>2634</v>
      </c>
      <c r="E38" s="39" t="s">
        <v>1684</v>
      </c>
      <c r="F38" s="39" t="s">
        <v>397</v>
      </c>
      <c r="G38" s="51" t="s">
        <v>2688</v>
      </c>
      <c r="H38" s="51" t="s">
        <v>2688</v>
      </c>
      <c r="L38" s="39" t="s">
        <v>1716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800.0</v>
      </c>
      <c r="AE38" s="39">
        <v>1.0</v>
      </c>
    </row>
    <row r="39">
      <c r="A39" s="51" t="s">
        <v>2213</v>
      </c>
      <c r="D39" s="39" t="s">
        <v>2634</v>
      </c>
      <c r="E39" s="39" t="s">
        <v>1684</v>
      </c>
      <c r="F39" s="39" t="s">
        <v>397</v>
      </c>
      <c r="G39" s="51" t="s">
        <v>2689</v>
      </c>
      <c r="H39" s="51" t="s">
        <v>2689</v>
      </c>
      <c r="L39" s="39" t="s">
        <v>2126</v>
      </c>
      <c r="M39" s="39" t="s">
        <v>2126</v>
      </c>
      <c r="N39" s="39" t="s">
        <v>67</v>
      </c>
      <c r="O39" s="39" t="s">
        <v>81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400.0</v>
      </c>
      <c r="AE39" s="39">
        <v>1.0</v>
      </c>
    </row>
    <row r="40">
      <c r="A40" s="51" t="s">
        <v>2690</v>
      </c>
      <c r="B40" s="39" t="s">
        <v>2558</v>
      </c>
      <c r="C40" s="39" t="s">
        <v>2559</v>
      </c>
      <c r="D40" s="39" t="s">
        <v>2634</v>
      </c>
      <c r="E40" s="39" t="s">
        <v>1684</v>
      </c>
      <c r="F40" s="39" t="s">
        <v>397</v>
      </c>
      <c r="G40" s="51" t="s">
        <v>2691</v>
      </c>
      <c r="H40" s="51" t="s">
        <v>2691</v>
      </c>
      <c r="L40" s="39" t="s">
        <v>1685</v>
      </c>
      <c r="M40" s="39" t="s">
        <v>2140</v>
      </c>
      <c r="N40" s="39" t="s">
        <v>67</v>
      </c>
      <c r="O40" s="39" t="s">
        <v>67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1.0</v>
      </c>
      <c r="W40" s="39">
        <v>0.0</v>
      </c>
      <c r="X40" s="39">
        <v>1.0</v>
      </c>
      <c r="Y40" s="39">
        <v>0.0</v>
      </c>
      <c r="Z40" s="30" t="s">
        <v>1999</v>
      </c>
      <c r="AA40" s="30" t="s">
        <v>115</v>
      </c>
      <c r="AC40" s="39">
        <v>350.0</v>
      </c>
      <c r="AE40" s="39">
        <v>1.0</v>
      </c>
    </row>
    <row r="41">
      <c r="A41" s="51" t="s">
        <v>2692</v>
      </c>
      <c r="B41" s="39" t="s">
        <v>2558</v>
      </c>
      <c r="C41" s="39" t="s">
        <v>2559</v>
      </c>
      <c r="D41" s="39" t="s">
        <v>2634</v>
      </c>
      <c r="E41" s="39" t="s">
        <v>1684</v>
      </c>
      <c r="F41" s="39" t="s">
        <v>397</v>
      </c>
      <c r="G41" s="51" t="s">
        <v>2693</v>
      </c>
      <c r="H41" s="51" t="s">
        <v>2693</v>
      </c>
      <c r="L41" s="39" t="s">
        <v>1685</v>
      </c>
      <c r="M41" s="39" t="s">
        <v>2143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600.0</v>
      </c>
      <c r="AE41" s="39">
        <v>1.0</v>
      </c>
    </row>
    <row r="42">
      <c r="A42" s="51" t="s">
        <v>2694</v>
      </c>
      <c r="B42" s="39" t="s">
        <v>2558</v>
      </c>
      <c r="C42" s="39" t="s">
        <v>2559</v>
      </c>
      <c r="D42" s="39" t="s">
        <v>2634</v>
      </c>
      <c r="E42" s="39" t="s">
        <v>1684</v>
      </c>
      <c r="F42" s="39" t="s">
        <v>397</v>
      </c>
      <c r="G42" s="51" t="s">
        <v>2695</v>
      </c>
      <c r="H42" s="51" t="s">
        <v>2695</v>
      </c>
      <c r="L42" s="39" t="s">
        <v>1685</v>
      </c>
      <c r="M42" s="39" t="s">
        <v>2537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600.0</v>
      </c>
      <c r="AE42" s="39">
        <v>1.0</v>
      </c>
    </row>
    <row r="43">
      <c r="A43" s="51" t="s">
        <v>2696</v>
      </c>
      <c r="B43" s="39" t="s">
        <v>2558</v>
      </c>
      <c r="C43" s="39" t="s">
        <v>2559</v>
      </c>
      <c r="D43" s="39" t="s">
        <v>2634</v>
      </c>
      <c r="E43" s="39" t="s">
        <v>1684</v>
      </c>
      <c r="F43" s="39" t="s">
        <v>397</v>
      </c>
      <c r="G43" s="51" t="s">
        <v>2697</v>
      </c>
      <c r="H43" s="51" t="s">
        <v>2697</v>
      </c>
      <c r="L43" s="39" t="s">
        <v>1685</v>
      </c>
      <c r="M43" s="39" t="s">
        <v>2388</v>
      </c>
      <c r="N43" s="39" t="s">
        <v>67</v>
      </c>
      <c r="O43" s="39" t="s">
        <v>81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C43" s="39">
        <v>450.0</v>
      </c>
      <c r="AE43" s="39">
        <v>1.0</v>
      </c>
    </row>
    <row r="44">
      <c r="A44" s="51" t="s">
        <v>2213</v>
      </c>
      <c r="D44" s="39" t="s">
        <v>2634</v>
      </c>
      <c r="E44" s="39" t="s">
        <v>1684</v>
      </c>
      <c r="F44" s="39" t="s">
        <v>397</v>
      </c>
      <c r="G44" s="51" t="s">
        <v>2698</v>
      </c>
      <c r="H44" s="51" t="s">
        <v>2698</v>
      </c>
      <c r="L44" s="39" t="s">
        <v>2126</v>
      </c>
      <c r="M44" s="39" t="s">
        <v>2126</v>
      </c>
      <c r="N44" s="39" t="s">
        <v>67</v>
      </c>
      <c r="O44" s="39" t="s">
        <v>81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300.0</v>
      </c>
      <c r="AE44" s="39">
        <v>1.0</v>
      </c>
    </row>
    <row r="45">
      <c r="A45" s="51" t="s">
        <v>2699</v>
      </c>
      <c r="B45" s="39" t="s">
        <v>2546</v>
      </c>
      <c r="C45" s="39" t="s">
        <v>2547</v>
      </c>
      <c r="D45" s="39" t="s">
        <v>2634</v>
      </c>
      <c r="E45" s="39" t="s">
        <v>1684</v>
      </c>
      <c r="F45" s="39" t="s">
        <v>397</v>
      </c>
      <c r="G45" s="51" t="s">
        <v>2700</v>
      </c>
      <c r="H45" s="51" t="s">
        <v>2700</v>
      </c>
      <c r="L45" s="39" t="s">
        <v>1685</v>
      </c>
      <c r="M45" s="39" t="s">
        <v>2140</v>
      </c>
      <c r="N45" s="39" t="s">
        <v>81</v>
      </c>
      <c r="O45" s="39" t="s">
        <v>67</v>
      </c>
      <c r="Q45" s="39">
        <v>1.0</v>
      </c>
      <c r="R45" s="39">
        <v>0.0</v>
      </c>
      <c r="S45" s="39">
        <v>0.0</v>
      </c>
      <c r="T45" s="39">
        <v>0.0</v>
      </c>
      <c r="U45" s="39">
        <v>0.0</v>
      </c>
      <c r="V45" s="39">
        <v>1.0</v>
      </c>
      <c r="W45" s="39">
        <v>0.0</v>
      </c>
      <c r="X45" s="39">
        <v>1.0</v>
      </c>
      <c r="Y45" s="39">
        <v>0.0</v>
      </c>
      <c r="Z45" s="30" t="s">
        <v>1787</v>
      </c>
      <c r="AA45" s="30" t="s">
        <v>115</v>
      </c>
      <c r="AC45" s="39">
        <v>300.0</v>
      </c>
      <c r="AE45" s="39">
        <v>1.0</v>
      </c>
    </row>
    <row r="46">
      <c r="A46" s="51" t="s">
        <v>2701</v>
      </c>
      <c r="B46" s="39" t="s">
        <v>2546</v>
      </c>
      <c r="C46" s="39" t="s">
        <v>2547</v>
      </c>
      <c r="D46" s="39" t="s">
        <v>2634</v>
      </c>
      <c r="E46" s="39" t="s">
        <v>1684</v>
      </c>
      <c r="F46" s="39" t="s">
        <v>397</v>
      </c>
      <c r="G46" s="51" t="s">
        <v>2022</v>
      </c>
      <c r="H46" s="51" t="s">
        <v>2022</v>
      </c>
      <c r="L46" s="39" t="s">
        <v>1685</v>
      </c>
      <c r="M46" s="39" t="s">
        <v>2143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600.0</v>
      </c>
      <c r="AE46" s="39">
        <v>1.0</v>
      </c>
    </row>
    <row r="47">
      <c r="A47" s="51" t="s">
        <v>2702</v>
      </c>
      <c r="B47" s="39" t="s">
        <v>2546</v>
      </c>
      <c r="C47" s="39" t="s">
        <v>2547</v>
      </c>
      <c r="D47" s="39" t="s">
        <v>2634</v>
      </c>
      <c r="E47" s="39" t="s">
        <v>1684</v>
      </c>
      <c r="F47" s="39" t="s">
        <v>397</v>
      </c>
      <c r="G47" s="51" t="s">
        <v>2022</v>
      </c>
      <c r="H47" s="51" t="s">
        <v>2022</v>
      </c>
      <c r="L47" s="39" t="s">
        <v>1685</v>
      </c>
      <c r="M47" s="39" t="s">
        <v>2537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300.0</v>
      </c>
      <c r="AE47" s="39">
        <v>1.0</v>
      </c>
    </row>
    <row r="48">
      <c r="A48" s="51" t="s">
        <v>2703</v>
      </c>
      <c r="B48" s="39" t="s">
        <v>2546</v>
      </c>
      <c r="C48" s="39" t="s">
        <v>2547</v>
      </c>
      <c r="D48" s="39" t="s">
        <v>2634</v>
      </c>
      <c r="E48" s="39" t="s">
        <v>1684</v>
      </c>
      <c r="F48" s="39" t="s">
        <v>397</v>
      </c>
      <c r="G48" s="51" t="s">
        <v>2704</v>
      </c>
      <c r="H48" s="51" t="s">
        <v>2704</v>
      </c>
      <c r="L48" s="39" t="s">
        <v>1685</v>
      </c>
      <c r="M48" s="39" t="s">
        <v>2388</v>
      </c>
      <c r="N48" s="39" t="s">
        <v>67</v>
      </c>
      <c r="O48" s="39" t="s">
        <v>67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300.0</v>
      </c>
      <c r="AE48" s="39">
        <v>1.0</v>
      </c>
    </row>
    <row r="49">
      <c r="A49" s="52" t="s">
        <v>2543</v>
      </c>
      <c r="D49" s="39" t="s">
        <v>2634</v>
      </c>
      <c r="E49" s="39" t="s">
        <v>1684</v>
      </c>
      <c r="F49" s="39" t="s">
        <v>397</v>
      </c>
      <c r="G49" s="51" t="s">
        <v>2025</v>
      </c>
      <c r="H49" s="51" t="s">
        <v>2025</v>
      </c>
      <c r="L49" s="39" t="s">
        <v>1716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500.0</v>
      </c>
      <c r="AE49" s="39">
        <v>1.0</v>
      </c>
    </row>
    <row r="50">
      <c r="A50" s="51" t="s">
        <v>2213</v>
      </c>
      <c r="D50" s="39" t="s">
        <v>2634</v>
      </c>
      <c r="E50" s="39" t="s">
        <v>1684</v>
      </c>
      <c r="F50" s="39" t="s">
        <v>397</v>
      </c>
      <c r="G50" s="51" t="s">
        <v>2705</v>
      </c>
      <c r="H50" s="51" t="s">
        <v>2705</v>
      </c>
      <c r="L50" s="39" t="s">
        <v>2126</v>
      </c>
      <c r="M50" s="39" t="s">
        <v>2542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600.0</v>
      </c>
      <c r="AE50" s="39">
        <v>1.0</v>
      </c>
    </row>
    <row r="51">
      <c r="A51" s="52" t="s">
        <v>2706</v>
      </c>
      <c r="D51" s="39" t="s">
        <v>2634</v>
      </c>
      <c r="E51" s="39" t="s">
        <v>1684</v>
      </c>
      <c r="F51" s="39" t="s">
        <v>397</v>
      </c>
      <c r="G51" s="51" t="s">
        <v>2707</v>
      </c>
      <c r="H51" s="51" t="s">
        <v>2707</v>
      </c>
      <c r="L51" s="39" t="s">
        <v>111</v>
      </c>
      <c r="M51" s="39" t="s">
        <v>111</v>
      </c>
      <c r="N51" s="39" t="s">
        <v>67</v>
      </c>
      <c r="O51" s="39" t="s">
        <v>81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400.0</v>
      </c>
      <c r="AE51" s="39">
        <v>1.0</v>
      </c>
    </row>
    <row r="52">
      <c r="A52" s="52" t="s">
        <v>1855</v>
      </c>
      <c r="D52" s="39" t="s">
        <v>2634</v>
      </c>
      <c r="E52" s="39" t="s">
        <v>1684</v>
      </c>
      <c r="F52" s="39" t="s">
        <v>397</v>
      </c>
      <c r="G52" s="51" t="s">
        <v>2441</v>
      </c>
      <c r="H52" s="51" t="s">
        <v>2441</v>
      </c>
      <c r="L52" s="39" t="s">
        <v>1716</v>
      </c>
      <c r="N52" s="39" t="s">
        <v>67</v>
      </c>
      <c r="O52" s="39" t="s">
        <v>81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300.0</v>
      </c>
      <c r="AE52" s="39">
        <v>1.0</v>
      </c>
    </row>
    <row r="53">
      <c r="A53" s="51" t="s">
        <v>2708</v>
      </c>
      <c r="B53" s="39" t="s">
        <v>2529</v>
      </c>
      <c r="C53" s="39" t="s">
        <v>2530</v>
      </c>
      <c r="D53" s="39" t="s">
        <v>2634</v>
      </c>
      <c r="E53" s="39" t="s">
        <v>1684</v>
      </c>
      <c r="F53" s="39" t="s">
        <v>397</v>
      </c>
      <c r="G53" s="51" t="s">
        <v>2709</v>
      </c>
      <c r="H53" s="51" t="s">
        <v>2709</v>
      </c>
      <c r="L53" s="39" t="s">
        <v>1685</v>
      </c>
      <c r="M53" s="39" t="s">
        <v>2140</v>
      </c>
      <c r="N53" s="39" t="s">
        <v>67</v>
      </c>
      <c r="O53" s="39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1.0</v>
      </c>
      <c r="W53" s="39">
        <v>0.0</v>
      </c>
      <c r="X53" s="39">
        <v>1.0</v>
      </c>
      <c r="Y53" s="39">
        <v>1.0</v>
      </c>
      <c r="Z53" s="30" t="s">
        <v>2710</v>
      </c>
      <c r="AA53" s="30" t="s">
        <v>411</v>
      </c>
      <c r="AC53" s="39">
        <v>300.0</v>
      </c>
      <c r="AE53" s="39">
        <v>1.0</v>
      </c>
    </row>
    <row r="54">
      <c r="A54" s="51" t="s">
        <v>2711</v>
      </c>
      <c r="B54" s="39" t="s">
        <v>2529</v>
      </c>
      <c r="C54" s="39" t="s">
        <v>2530</v>
      </c>
      <c r="D54" s="39" t="s">
        <v>2634</v>
      </c>
      <c r="E54" s="39" t="s">
        <v>1684</v>
      </c>
      <c r="F54" s="39" t="s">
        <v>397</v>
      </c>
      <c r="G54" s="51" t="s">
        <v>2712</v>
      </c>
      <c r="H54" s="51" t="s">
        <v>2712</v>
      </c>
      <c r="L54" s="39" t="s">
        <v>1685</v>
      </c>
      <c r="M54" s="39" t="s">
        <v>2143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400.0</v>
      </c>
      <c r="AE54" s="39">
        <v>1.0</v>
      </c>
    </row>
    <row r="55">
      <c r="A55" s="51" t="s">
        <v>2713</v>
      </c>
      <c r="B55" s="39" t="s">
        <v>2529</v>
      </c>
      <c r="C55" s="39" t="s">
        <v>2530</v>
      </c>
      <c r="D55" s="39" t="s">
        <v>2634</v>
      </c>
      <c r="E55" s="39" t="s">
        <v>1684</v>
      </c>
      <c r="F55" s="39" t="s">
        <v>397</v>
      </c>
      <c r="G55" s="51" t="s">
        <v>2714</v>
      </c>
      <c r="H55" s="51" t="s">
        <v>2714</v>
      </c>
      <c r="L55" s="39" t="s">
        <v>1685</v>
      </c>
      <c r="M55" s="39" t="s">
        <v>2537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450.0</v>
      </c>
      <c r="AE55" s="39">
        <v>1.0</v>
      </c>
    </row>
    <row r="56">
      <c r="A56" s="51" t="s">
        <v>2715</v>
      </c>
      <c r="B56" s="39" t="s">
        <v>2529</v>
      </c>
      <c r="C56" s="39" t="s">
        <v>2530</v>
      </c>
      <c r="D56" s="39" t="s">
        <v>2634</v>
      </c>
      <c r="E56" s="39" t="s">
        <v>1684</v>
      </c>
      <c r="F56" s="39" t="s">
        <v>397</v>
      </c>
      <c r="G56" s="51" t="s">
        <v>2716</v>
      </c>
      <c r="H56" s="51" t="s">
        <v>2716</v>
      </c>
      <c r="L56" s="39" t="s">
        <v>1685</v>
      </c>
      <c r="M56" s="39" t="s">
        <v>2537</v>
      </c>
      <c r="N56" s="39" t="s">
        <v>67</v>
      </c>
      <c r="O56" s="39" t="s">
        <v>68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E56" s="39">
        <v>1.0</v>
      </c>
    </row>
    <row r="57">
      <c r="A57" s="51" t="s">
        <v>2717</v>
      </c>
      <c r="B57" s="39" t="s">
        <v>2529</v>
      </c>
      <c r="C57" s="39" t="s">
        <v>2530</v>
      </c>
      <c r="D57" s="39" t="s">
        <v>2634</v>
      </c>
      <c r="E57" s="39" t="s">
        <v>1684</v>
      </c>
      <c r="F57" s="39" t="s">
        <v>397</v>
      </c>
      <c r="G57" s="51" t="s">
        <v>2716</v>
      </c>
      <c r="H57" s="51" t="s">
        <v>2716</v>
      </c>
      <c r="L57" s="39" t="s">
        <v>1685</v>
      </c>
      <c r="M57" s="39" t="s">
        <v>2537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E57" s="39">
        <v>1.0</v>
      </c>
    </row>
    <row r="58">
      <c r="A58" s="51" t="s">
        <v>2718</v>
      </c>
      <c r="B58" s="39" t="s">
        <v>2529</v>
      </c>
      <c r="C58" s="39" t="s">
        <v>2530</v>
      </c>
      <c r="D58" s="39" t="s">
        <v>2634</v>
      </c>
      <c r="E58" s="39" t="s">
        <v>1684</v>
      </c>
      <c r="F58" s="39" t="s">
        <v>397</v>
      </c>
      <c r="G58" s="51" t="s">
        <v>2719</v>
      </c>
      <c r="H58" s="51" t="s">
        <v>2719</v>
      </c>
      <c r="L58" s="39" t="s">
        <v>1685</v>
      </c>
      <c r="M58" s="39" t="s">
        <v>2388</v>
      </c>
      <c r="N58" s="39" t="s">
        <v>67</v>
      </c>
      <c r="O58" s="39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300.0</v>
      </c>
      <c r="AE58" s="39">
        <v>1.0</v>
      </c>
    </row>
    <row r="59">
      <c r="A59" s="51" t="s">
        <v>2213</v>
      </c>
      <c r="D59" s="39" t="s">
        <v>2634</v>
      </c>
      <c r="E59" s="39" t="s">
        <v>1684</v>
      </c>
      <c r="F59" s="39" t="s">
        <v>397</v>
      </c>
      <c r="G59" s="51" t="s">
        <v>2720</v>
      </c>
      <c r="H59" s="51" t="s">
        <v>2720</v>
      </c>
      <c r="L59" s="39" t="s">
        <v>2126</v>
      </c>
      <c r="M59" s="39" t="s">
        <v>2542</v>
      </c>
      <c r="N59" s="39" t="s">
        <v>67</v>
      </c>
      <c r="O59" s="39" t="s">
        <v>68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C59" s="39">
        <v>300.0</v>
      </c>
      <c r="AE59" s="39">
        <v>1.0</v>
      </c>
    </row>
    <row r="60">
      <c r="A60" s="52" t="s">
        <v>1779</v>
      </c>
      <c r="D60" s="39" t="s">
        <v>2634</v>
      </c>
      <c r="E60" s="39" t="s">
        <v>1684</v>
      </c>
      <c r="F60" s="39" t="s">
        <v>397</v>
      </c>
      <c r="G60" s="51" t="s">
        <v>2721</v>
      </c>
      <c r="H60" s="51" t="s">
        <v>2721</v>
      </c>
      <c r="L60" s="39" t="s">
        <v>1716</v>
      </c>
      <c r="N60" s="39" t="s">
        <v>67</v>
      </c>
      <c r="O60" s="39" t="s">
        <v>68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800.0</v>
      </c>
      <c r="AE60" s="39">
        <v>1.0</v>
      </c>
    </row>
    <row r="61">
      <c r="A61" s="51" t="s">
        <v>2722</v>
      </c>
      <c r="B61" s="39" t="s">
        <v>1417</v>
      </c>
      <c r="C61" s="39" t="s">
        <v>1418</v>
      </c>
      <c r="D61" s="39" t="s">
        <v>2634</v>
      </c>
      <c r="E61" s="39" t="s">
        <v>1684</v>
      </c>
      <c r="F61" s="39" t="s">
        <v>397</v>
      </c>
      <c r="G61" s="51" t="s">
        <v>2723</v>
      </c>
      <c r="H61" s="51" t="s">
        <v>2723</v>
      </c>
      <c r="L61" s="39" t="s">
        <v>1685</v>
      </c>
      <c r="M61" s="39" t="s">
        <v>2140</v>
      </c>
      <c r="N61" s="39" t="s">
        <v>67</v>
      </c>
      <c r="O61" s="39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1.0</v>
      </c>
      <c r="W61" s="39">
        <v>0.0</v>
      </c>
      <c r="X61" s="39">
        <v>1.0</v>
      </c>
      <c r="Y61" s="39">
        <v>0.0</v>
      </c>
      <c r="Z61" s="30" t="s">
        <v>2724</v>
      </c>
      <c r="AA61" s="30" t="s">
        <v>115</v>
      </c>
      <c r="AC61" s="39">
        <v>400.0</v>
      </c>
      <c r="AE61" s="39">
        <v>1.0</v>
      </c>
    </row>
    <row r="62">
      <c r="A62" s="51" t="s">
        <v>2725</v>
      </c>
      <c r="B62" s="39" t="s">
        <v>1417</v>
      </c>
      <c r="C62" s="39" t="s">
        <v>1418</v>
      </c>
      <c r="D62" s="39" t="s">
        <v>2634</v>
      </c>
      <c r="E62" s="39" t="s">
        <v>1684</v>
      </c>
      <c r="F62" s="39" t="s">
        <v>397</v>
      </c>
      <c r="G62" s="51" t="s">
        <v>2726</v>
      </c>
      <c r="H62" s="51" t="s">
        <v>2726</v>
      </c>
      <c r="L62" s="39" t="s">
        <v>1685</v>
      </c>
      <c r="M62" s="39" t="s">
        <v>2727</v>
      </c>
      <c r="N62" s="39" t="s">
        <v>67</v>
      </c>
      <c r="O62" s="39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1.0</v>
      </c>
      <c r="W62" s="39">
        <v>1.0</v>
      </c>
      <c r="X62" s="39">
        <v>2.0</v>
      </c>
      <c r="Y62" s="39">
        <v>1.0</v>
      </c>
      <c r="Z62" s="30" t="s">
        <v>2728</v>
      </c>
      <c r="AA62" s="30" t="s">
        <v>1703</v>
      </c>
      <c r="AC62" s="39">
        <v>400.0</v>
      </c>
      <c r="AE62" s="39">
        <v>1.0</v>
      </c>
    </row>
    <row r="63">
      <c r="A63" s="51" t="s">
        <v>2729</v>
      </c>
      <c r="B63" s="39" t="s">
        <v>1417</v>
      </c>
      <c r="C63" s="39" t="s">
        <v>1418</v>
      </c>
      <c r="D63" s="39" t="s">
        <v>2634</v>
      </c>
      <c r="E63" s="39" t="s">
        <v>1684</v>
      </c>
      <c r="F63" s="39" t="s">
        <v>397</v>
      </c>
      <c r="G63" s="39" t="s">
        <v>2726</v>
      </c>
      <c r="H63" s="39" t="s">
        <v>2726</v>
      </c>
      <c r="L63" s="39" t="s">
        <v>1685</v>
      </c>
      <c r="M63" s="39" t="s">
        <v>2727</v>
      </c>
      <c r="N63" s="39" t="s">
        <v>67</v>
      </c>
      <c r="O63" s="39" t="s">
        <v>68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1.0</v>
      </c>
      <c r="W63" s="39">
        <v>1.0</v>
      </c>
      <c r="X63" s="39">
        <v>1.0</v>
      </c>
      <c r="Y63" s="39">
        <v>1.0</v>
      </c>
      <c r="Z63" s="30" t="s">
        <v>2730</v>
      </c>
      <c r="AA63" s="30" t="s">
        <v>411</v>
      </c>
      <c r="AC63" s="39">
        <v>300.0</v>
      </c>
      <c r="AE63" s="39">
        <v>1.0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2731</v>
      </c>
      <c r="B2" s="39" t="s">
        <v>1972</v>
      </c>
      <c r="C2" s="39" t="s">
        <v>1973</v>
      </c>
      <c r="D2" s="39" t="s">
        <v>2732</v>
      </c>
      <c r="E2" s="39" t="s">
        <v>1771</v>
      </c>
      <c r="F2" s="39" t="s">
        <v>64</v>
      </c>
      <c r="G2" s="39" t="s">
        <v>657</v>
      </c>
      <c r="I2" s="40">
        <v>99.7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2.0</v>
      </c>
      <c r="Y2" s="39">
        <v>3.0</v>
      </c>
      <c r="Z2" s="30" t="s">
        <v>2733</v>
      </c>
      <c r="AA2" s="30" t="s">
        <v>2734</v>
      </c>
      <c r="AE2" s="39">
        <v>1.0</v>
      </c>
    </row>
    <row r="3">
      <c r="A3" s="39" t="s">
        <v>2735</v>
      </c>
      <c r="B3" s="39" t="s">
        <v>1972</v>
      </c>
      <c r="C3" s="39" t="s">
        <v>1973</v>
      </c>
      <c r="D3" s="39" t="s">
        <v>2732</v>
      </c>
      <c r="E3" s="39" t="s">
        <v>1771</v>
      </c>
      <c r="F3" s="39" t="s">
        <v>64</v>
      </c>
      <c r="G3" s="39" t="s">
        <v>662</v>
      </c>
      <c r="N3" s="39" t="s">
        <v>81</v>
      </c>
      <c r="O3" s="39" t="s">
        <v>68</v>
      </c>
      <c r="Q3" s="39">
        <v>1.0</v>
      </c>
      <c r="R3" s="39">
        <v>0.0</v>
      </c>
      <c r="S3" s="39">
        <v>0.0</v>
      </c>
      <c r="T3" s="39">
        <v>0.0</v>
      </c>
      <c r="U3" s="39">
        <v>0.0</v>
      </c>
      <c r="V3" s="39">
        <v>1.0</v>
      </c>
      <c r="W3" s="39">
        <v>1.0</v>
      </c>
      <c r="X3" s="39">
        <v>0.0</v>
      </c>
      <c r="Y3" s="39">
        <v>0.0</v>
      </c>
      <c r="AE3" s="39">
        <v>1.0</v>
      </c>
    </row>
    <row r="4">
      <c r="A4" s="39" t="s">
        <v>2736</v>
      </c>
      <c r="B4" s="39" t="s">
        <v>1972</v>
      </c>
      <c r="C4" s="39" t="s">
        <v>1973</v>
      </c>
      <c r="D4" s="39" t="s">
        <v>2732</v>
      </c>
      <c r="E4" s="39" t="s">
        <v>1771</v>
      </c>
      <c r="F4" s="39" t="s">
        <v>64</v>
      </c>
      <c r="G4" s="39" t="s">
        <v>65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2.0</v>
      </c>
      <c r="Y4" s="39">
        <v>0.0</v>
      </c>
      <c r="Z4" s="30" t="s">
        <v>2737</v>
      </c>
      <c r="AA4" s="30" t="s">
        <v>78</v>
      </c>
      <c r="AE4" s="39">
        <v>1.0</v>
      </c>
    </row>
    <row r="5">
      <c r="A5" s="39" t="s">
        <v>2738</v>
      </c>
      <c r="B5" s="39" t="s">
        <v>1972</v>
      </c>
      <c r="C5" s="39" t="s">
        <v>1973</v>
      </c>
      <c r="D5" s="39" t="s">
        <v>2732</v>
      </c>
      <c r="E5" s="39" t="s">
        <v>1771</v>
      </c>
      <c r="F5" s="39" t="s">
        <v>64</v>
      </c>
      <c r="G5" s="39" t="s">
        <v>2739</v>
      </c>
      <c r="H5" s="39" t="s">
        <v>2739</v>
      </c>
      <c r="I5" s="40">
        <v>100.645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3.0</v>
      </c>
      <c r="Z5" s="30" t="s">
        <v>2740</v>
      </c>
      <c r="AA5" s="30" t="s">
        <v>266</v>
      </c>
      <c r="AE5" s="39">
        <v>1.0</v>
      </c>
    </row>
    <row r="6">
      <c r="A6" s="39" t="s">
        <v>2741</v>
      </c>
      <c r="B6" s="39" t="s">
        <v>1972</v>
      </c>
      <c r="C6" s="39" t="s">
        <v>1973</v>
      </c>
      <c r="D6" s="39" t="s">
        <v>2732</v>
      </c>
      <c r="E6" s="39" t="s">
        <v>1771</v>
      </c>
      <c r="F6" s="39" t="s">
        <v>64</v>
      </c>
      <c r="G6" s="39" t="s">
        <v>2742</v>
      </c>
      <c r="H6" s="39" t="s">
        <v>2742</v>
      </c>
      <c r="N6" s="39" t="s">
        <v>81</v>
      </c>
      <c r="O6" s="39" t="s">
        <v>68</v>
      </c>
      <c r="Q6" s="39">
        <v>1.0</v>
      </c>
      <c r="R6" s="39">
        <v>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2.0</v>
      </c>
      <c r="Y6" s="39">
        <v>2.0</v>
      </c>
      <c r="Z6" s="30" t="s">
        <v>2743</v>
      </c>
      <c r="AA6" s="30" t="s">
        <v>2086</v>
      </c>
      <c r="AE6" s="39">
        <v>1.0</v>
      </c>
    </row>
    <row r="7">
      <c r="A7" s="39" t="s">
        <v>2744</v>
      </c>
      <c r="B7" s="39" t="s">
        <v>1972</v>
      </c>
      <c r="C7" s="39" t="s">
        <v>1973</v>
      </c>
      <c r="D7" s="39" t="s">
        <v>2732</v>
      </c>
      <c r="E7" s="39" t="s">
        <v>1771</v>
      </c>
      <c r="F7" s="39" t="s">
        <v>64</v>
      </c>
      <c r="G7" s="39" t="s">
        <v>2745</v>
      </c>
      <c r="H7" s="39" t="s">
        <v>2745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2.0</v>
      </c>
      <c r="Y7" s="39">
        <v>1.0</v>
      </c>
      <c r="Z7" s="30" t="s">
        <v>2746</v>
      </c>
      <c r="AA7" s="30" t="s">
        <v>1703</v>
      </c>
      <c r="AE7" s="39">
        <v>1.0</v>
      </c>
    </row>
    <row r="8">
      <c r="A8" s="39" t="s">
        <v>2747</v>
      </c>
      <c r="B8" s="39" t="s">
        <v>1972</v>
      </c>
      <c r="C8" s="39" t="s">
        <v>1973</v>
      </c>
      <c r="D8" s="39" t="s">
        <v>2732</v>
      </c>
      <c r="E8" s="39" t="s">
        <v>1771</v>
      </c>
      <c r="F8" s="39" t="s">
        <v>64</v>
      </c>
      <c r="G8" s="39" t="s">
        <v>2748</v>
      </c>
      <c r="H8" s="39" t="s">
        <v>2748</v>
      </c>
      <c r="I8" s="40">
        <v>101.773</v>
      </c>
      <c r="N8" s="39" t="s">
        <v>67</v>
      </c>
      <c r="O8" s="39" t="s">
        <v>81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E8" s="39">
        <v>1.0</v>
      </c>
    </row>
    <row r="9">
      <c r="A9" s="39" t="s">
        <v>2749</v>
      </c>
      <c r="B9" s="39" t="s">
        <v>2750</v>
      </c>
      <c r="C9" s="39" t="s">
        <v>2751</v>
      </c>
      <c r="D9" s="39" t="s">
        <v>2732</v>
      </c>
      <c r="E9" s="39" t="s">
        <v>1771</v>
      </c>
      <c r="F9" s="39" t="s">
        <v>64</v>
      </c>
      <c r="G9" s="39" t="s">
        <v>2752</v>
      </c>
      <c r="H9" s="39" t="s">
        <v>2752</v>
      </c>
      <c r="I9" s="40">
        <v>102.07000000000001</v>
      </c>
      <c r="L9" s="39" t="s">
        <v>2140</v>
      </c>
      <c r="N9" s="39" t="s">
        <v>67</v>
      </c>
      <c r="O9" s="39" t="s">
        <v>67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1.0</v>
      </c>
      <c r="W9" s="39">
        <v>0.0</v>
      </c>
      <c r="X9" s="39">
        <v>0.0</v>
      </c>
      <c r="Y9" s="39">
        <v>0.0</v>
      </c>
      <c r="AE9" s="39">
        <v>1.0</v>
      </c>
    </row>
    <row r="10">
      <c r="A10" s="39" t="s">
        <v>2753</v>
      </c>
      <c r="B10" s="39" t="s">
        <v>2750</v>
      </c>
      <c r="C10" s="39" t="s">
        <v>2751</v>
      </c>
      <c r="D10" s="39" t="s">
        <v>2732</v>
      </c>
      <c r="E10" s="39" t="s">
        <v>1771</v>
      </c>
      <c r="F10" s="39" t="s">
        <v>64</v>
      </c>
      <c r="G10" s="39" t="s">
        <v>2754</v>
      </c>
      <c r="H10" s="39" t="s">
        <v>2754</v>
      </c>
      <c r="I10" s="40">
        <v>102.48</v>
      </c>
      <c r="L10" s="39" t="s">
        <v>2143</v>
      </c>
      <c r="N10" s="39" t="s">
        <v>67</v>
      </c>
      <c r="O10" s="39" t="s">
        <v>67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1.0</v>
      </c>
      <c r="W10" s="39">
        <v>0.0</v>
      </c>
      <c r="X10" s="39">
        <v>0.0</v>
      </c>
      <c r="Y10" s="39">
        <v>1.0</v>
      </c>
      <c r="Z10" s="30" t="s">
        <v>2755</v>
      </c>
      <c r="AA10" s="30" t="s">
        <v>97</v>
      </c>
      <c r="AE10" s="39">
        <v>1.0</v>
      </c>
    </row>
    <row r="11">
      <c r="A11" s="39" t="s">
        <v>2756</v>
      </c>
      <c r="B11" s="39" t="s">
        <v>2750</v>
      </c>
      <c r="C11" s="39" t="s">
        <v>2751</v>
      </c>
      <c r="D11" s="39" t="s">
        <v>2732</v>
      </c>
      <c r="E11" s="39" t="s">
        <v>1771</v>
      </c>
      <c r="F11" s="39" t="s">
        <v>64</v>
      </c>
      <c r="G11" s="39" t="s">
        <v>2757</v>
      </c>
      <c r="H11" s="39" t="s">
        <v>2757</v>
      </c>
      <c r="I11" s="40">
        <v>102.775</v>
      </c>
      <c r="L11" s="39" t="s">
        <v>2388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E11" s="39">
        <v>1.0</v>
      </c>
    </row>
    <row r="12">
      <c r="A12" s="39" t="s">
        <v>2758</v>
      </c>
      <c r="B12" s="39" t="s">
        <v>2759</v>
      </c>
      <c r="C12" s="39" t="s">
        <v>2760</v>
      </c>
      <c r="D12" s="39" t="s">
        <v>2732</v>
      </c>
      <c r="E12" s="39" t="s">
        <v>1771</v>
      </c>
      <c r="F12" s="39" t="s">
        <v>64</v>
      </c>
      <c r="G12" s="39" t="s">
        <v>2761</v>
      </c>
      <c r="H12" s="39" t="s">
        <v>2761</v>
      </c>
      <c r="I12" s="40">
        <v>106.455</v>
      </c>
      <c r="L12" s="39" t="s">
        <v>2126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E12" s="39">
        <v>1.0</v>
      </c>
    </row>
    <row r="13">
      <c r="A13" s="39" t="s">
        <v>2762</v>
      </c>
      <c r="B13" s="39" t="s">
        <v>2759</v>
      </c>
      <c r="C13" s="39" t="s">
        <v>2760</v>
      </c>
      <c r="D13" s="39" t="s">
        <v>2732</v>
      </c>
      <c r="E13" s="39" t="s">
        <v>1771</v>
      </c>
      <c r="F13" s="39" t="s">
        <v>64</v>
      </c>
      <c r="G13" s="39" t="s">
        <v>2763</v>
      </c>
      <c r="H13" s="39" t="s">
        <v>2763</v>
      </c>
      <c r="I13" s="40">
        <v>107.83</v>
      </c>
      <c r="N13" s="39" t="s">
        <v>119</v>
      </c>
      <c r="O13" s="39" t="s">
        <v>68</v>
      </c>
      <c r="Q13" s="39">
        <v>0.0</v>
      </c>
      <c r="R13" s="39">
        <v>1.0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E13" s="39">
        <v>1.0</v>
      </c>
    </row>
    <row r="14">
      <c r="A14" s="39" t="s">
        <v>2764</v>
      </c>
      <c r="B14" s="39" t="s">
        <v>2765</v>
      </c>
      <c r="C14" s="39" t="s">
        <v>2766</v>
      </c>
      <c r="D14" s="39" t="s">
        <v>2732</v>
      </c>
      <c r="E14" s="39" t="s">
        <v>1771</v>
      </c>
      <c r="F14" s="39" t="s">
        <v>64</v>
      </c>
      <c r="G14" s="39" t="s">
        <v>2767</v>
      </c>
      <c r="H14" s="39" t="s">
        <v>2767</v>
      </c>
      <c r="I14" s="40">
        <v>110.505</v>
      </c>
      <c r="L14" s="39" t="s">
        <v>2126</v>
      </c>
      <c r="N14" s="39" t="s">
        <v>67</v>
      </c>
      <c r="O14" s="39" t="s">
        <v>81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E14" s="39">
        <v>1.0</v>
      </c>
    </row>
    <row r="15">
      <c r="A15" s="39" t="s">
        <v>2768</v>
      </c>
      <c r="B15" s="39" t="s">
        <v>2765</v>
      </c>
      <c r="C15" s="39" t="s">
        <v>2766</v>
      </c>
      <c r="D15" s="39" t="s">
        <v>2732</v>
      </c>
      <c r="E15" s="39" t="s">
        <v>1771</v>
      </c>
      <c r="F15" s="39" t="s">
        <v>64</v>
      </c>
      <c r="G15" s="39" t="s">
        <v>2769</v>
      </c>
      <c r="H15" s="39" t="s">
        <v>2769</v>
      </c>
      <c r="I15" s="40">
        <v>111.555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1.0</v>
      </c>
      <c r="W15" s="39">
        <v>0.0</v>
      </c>
      <c r="X15" s="39">
        <v>0.0</v>
      </c>
      <c r="Y15" s="39">
        <v>1.0</v>
      </c>
      <c r="Z15" s="30" t="s">
        <v>2755</v>
      </c>
      <c r="AA15" s="30" t="s">
        <v>97</v>
      </c>
      <c r="AE15" s="39">
        <v>1.0</v>
      </c>
    </row>
    <row r="16">
      <c r="A16" s="39" t="s">
        <v>2770</v>
      </c>
      <c r="B16" s="39" t="s">
        <v>2765</v>
      </c>
      <c r="C16" s="39" t="s">
        <v>2766</v>
      </c>
      <c r="D16" s="39" t="s">
        <v>2732</v>
      </c>
      <c r="E16" s="39" t="s">
        <v>1771</v>
      </c>
      <c r="F16" s="39" t="s">
        <v>64</v>
      </c>
      <c r="G16" s="39" t="s">
        <v>2771</v>
      </c>
      <c r="H16" s="39" t="s">
        <v>2771</v>
      </c>
      <c r="I16" s="40">
        <v>112.19</v>
      </c>
      <c r="N16" s="39" t="s">
        <v>67</v>
      </c>
      <c r="O16" s="39" t="s">
        <v>67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E16" s="39">
        <v>1.0</v>
      </c>
    </row>
    <row r="17">
      <c r="A17" s="39" t="s">
        <v>2772</v>
      </c>
      <c r="B17" s="39" t="s">
        <v>2773</v>
      </c>
      <c r="C17" s="39" t="s">
        <v>2774</v>
      </c>
      <c r="D17" s="39" t="s">
        <v>2732</v>
      </c>
      <c r="E17" s="39" t="s">
        <v>1771</v>
      </c>
      <c r="F17" s="39" t="s">
        <v>64</v>
      </c>
      <c r="G17" s="39" t="s">
        <v>2775</v>
      </c>
      <c r="H17" s="39" t="s">
        <v>2775</v>
      </c>
      <c r="I17" s="40">
        <v>116.64</v>
      </c>
      <c r="L17" s="39" t="s">
        <v>2126</v>
      </c>
      <c r="N17" s="39" t="s">
        <v>67</v>
      </c>
      <c r="O17" s="39" t="s">
        <v>81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E17" s="39">
        <v>1.0</v>
      </c>
    </row>
    <row r="18">
      <c r="A18" s="39" t="s">
        <v>2776</v>
      </c>
      <c r="B18" s="39" t="s">
        <v>2773</v>
      </c>
      <c r="C18" s="39" t="s">
        <v>2774</v>
      </c>
      <c r="D18" s="39" t="s">
        <v>2732</v>
      </c>
      <c r="E18" s="39" t="s">
        <v>1771</v>
      </c>
      <c r="F18" s="39" t="s">
        <v>64</v>
      </c>
      <c r="G18" s="39" t="s">
        <v>2777</v>
      </c>
      <c r="H18" s="39" t="s">
        <v>2777</v>
      </c>
      <c r="I18" s="40">
        <v>117.66</v>
      </c>
      <c r="N18" s="39" t="s">
        <v>67</v>
      </c>
      <c r="O18" s="39" t="s">
        <v>81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1.0</v>
      </c>
      <c r="W18" s="39">
        <v>0.0</v>
      </c>
      <c r="X18" s="39">
        <v>0.0</v>
      </c>
      <c r="Y18" s="39">
        <v>1.0</v>
      </c>
      <c r="Z18" s="30" t="s">
        <v>2755</v>
      </c>
      <c r="AA18" s="30" t="s">
        <v>97</v>
      </c>
      <c r="AE18" s="39">
        <v>1.0</v>
      </c>
    </row>
    <row r="19">
      <c r="A19" s="39" t="s">
        <v>2778</v>
      </c>
      <c r="B19" s="39" t="s">
        <v>2773</v>
      </c>
      <c r="C19" s="39" t="s">
        <v>2774</v>
      </c>
      <c r="D19" s="39" t="s">
        <v>2732</v>
      </c>
      <c r="E19" s="39" t="s">
        <v>1771</v>
      </c>
      <c r="F19" s="39" t="s">
        <v>64</v>
      </c>
      <c r="G19" s="39" t="s">
        <v>2779</v>
      </c>
      <c r="H19" s="39" t="s">
        <v>2779</v>
      </c>
      <c r="I19" s="40">
        <v>118.17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E19" s="39">
        <v>1.0</v>
      </c>
    </row>
    <row r="20">
      <c r="A20" s="39" t="s">
        <v>2780</v>
      </c>
      <c r="B20" s="39" t="s">
        <v>2781</v>
      </c>
      <c r="C20" s="39" t="s">
        <v>2782</v>
      </c>
      <c r="D20" s="39" t="s">
        <v>2732</v>
      </c>
      <c r="E20" s="39" t="s">
        <v>1771</v>
      </c>
      <c r="F20" s="39" t="s">
        <v>64</v>
      </c>
      <c r="G20" s="75" t="s">
        <v>2783</v>
      </c>
      <c r="H20" s="75" t="s">
        <v>2783</v>
      </c>
      <c r="I20" s="40">
        <v>121.13</v>
      </c>
      <c r="L20" s="39" t="s">
        <v>2126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E20" s="39">
        <v>1.0</v>
      </c>
    </row>
    <row r="21">
      <c r="A21" s="39" t="s">
        <v>2784</v>
      </c>
      <c r="B21" s="39" t="s">
        <v>2781</v>
      </c>
      <c r="C21" s="39" t="s">
        <v>2782</v>
      </c>
      <c r="D21" s="39" t="s">
        <v>2732</v>
      </c>
      <c r="E21" s="39" t="s">
        <v>1771</v>
      </c>
      <c r="F21" s="39" t="s">
        <v>64</v>
      </c>
      <c r="G21" s="39" t="s">
        <v>2785</v>
      </c>
      <c r="H21" s="39" t="s">
        <v>2785</v>
      </c>
      <c r="I21" s="40">
        <v>122.155</v>
      </c>
      <c r="L21" s="39" t="s">
        <v>111</v>
      </c>
      <c r="N21" s="39" t="s">
        <v>81</v>
      </c>
      <c r="O21" s="39" t="s">
        <v>67</v>
      </c>
      <c r="Q21" s="39">
        <v>1.0</v>
      </c>
      <c r="R21" s="39">
        <v>0.0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E21" s="39">
        <v>1.0</v>
      </c>
    </row>
    <row r="22">
      <c r="A22" s="39" t="s">
        <v>2786</v>
      </c>
      <c r="B22" s="39" t="s">
        <v>2781</v>
      </c>
      <c r="C22" s="39" t="s">
        <v>2782</v>
      </c>
      <c r="D22" s="39" t="s">
        <v>2732</v>
      </c>
      <c r="E22" s="39" t="s">
        <v>1771</v>
      </c>
      <c r="F22" s="39" t="s">
        <v>64</v>
      </c>
      <c r="G22" s="39" t="s">
        <v>2787</v>
      </c>
      <c r="H22" s="39" t="s">
        <v>2787</v>
      </c>
      <c r="I22" s="40">
        <v>123.14</v>
      </c>
      <c r="N22" s="39" t="s">
        <v>67</v>
      </c>
      <c r="O22" s="39" t="s">
        <v>81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1.0</v>
      </c>
      <c r="W22" s="39">
        <v>0.0</v>
      </c>
      <c r="X22" s="39">
        <v>0.0</v>
      </c>
      <c r="Y22" s="39">
        <v>0.0</v>
      </c>
      <c r="AE22" s="39">
        <v>1.0</v>
      </c>
    </row>
    <row r="23">
      <c r="A23" s="39" t="s">
        <v>2788</v>
      </c>
      <c r="B23" s="39" t="s">
        <v>2781</v>
      </c>
      <c r="C23" s="39" t="s">
        <v>2782</v>
      </c>
      <c r="D23" s="39" t="s">
        <v>2732</v>
      </c>
      <c r="E23" s="39" t="s">
        <v>1771</v>
      </c>
      <c r="F23" s="39" t="s">
        <v>64</v>
      </c>
      <c r="G23" s="39" t="s">
        <v>2789</v>
      </c>
      <c r="H23" s="39" t="s">
        <v>2789</v>
      </c>
      <c r="I23" s="40">
        <v>124.255</v>
      </c>
      <c r="N23" s="39" t="s">
        <v>67</v>
      </c>
      <c r="O23" s="39" t="s">
        <v>67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E23" s="39">
        <v>1.0</v>
      </c>
    </row>
    <row r="24">
      <c r="A24" s="39" t="s">
        <v>2790</v>
      </c>
      <c r="B24" s="39" t="s">
        <v>2791</v>
      </c>
      <c r="C24" s="39" t="s">
        <v>2792</v>
      </c>
      <c r="D24" s="39" t="s">
        <v>2732</v>
      </c>
      <c r="E24" s="39" t="s">
        <v>1771</v>
      </c>
      <c r="F24" s="39" t="s">
        <v>64</v>
      </c>
      <c r="G24" s="39" t="s">
        <v>2793</v>
      </c>
      <c r="H24" s="39" t="s">
        <v>2793</v>
      </c>
      <c r="I24" s="40">
        <v>125.275</v>
      </c>
      <c r="L24" s="39" t="s">
        <v>2126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E24" s="39">
        <v>1.0</v>
      </c>
    </row>
    <row r="25">
      <c r="A25" s="39" t="s">
        <v>2794</v>
      </c>
      <c r="B25" s="39" t="s">
        <v>2791</v>
      </c>
      <c r="C25" s="39" t="s">
        <v>2792</v>
      </c>
      <c r="D25" s="39" t="s">
        <v>2732</v>
      </c>
      <c r="E25" s="39" t="s">
        <v>1771</v>
      </c>
      <c r="F25" s="39" t="s">
        <v>64</v>
      </c>
      <c r="G25" s="39" t="s">
        <v>2795</v>
      </c>
      <c r="H25" s="39" t="s">
        <v>2795</v>
      </c>
      <c r="I25" s="40">
        <v>125.65</v>
      </c>
      <c r="N25" s="39" t="s">
        <v>67</v>
      </c>
      <c r="O25" s="39" t="s">
        <v>81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1.0</v>
      </c>
      <c r="W25" s="39">
        <v>0.0</v>
      </c>
      <c r="X25" s="39">
        <v>0.0</v>
      </c>
      <c r="Y25" s="39">
        <v>0.0</v>
      </c>
      <c r="AE25" s="39">
        <v>1.0</v>
      </c>
    </row>
    <row r="26">
      <c r="A26" s="39" t="s">
        <v>2796</v>
      </c>
      <c r="B26" s="39" t="s">
        <v>2791</v>
      </c>
      <c r="C26" s="39" t="s">
        <v>2792</v>
      </c>
      <c r="D26" s="39" t="s">
        <v>2732</v>
      </c>
      <c r="E26" s="39" t="s">
        <v>1771</v>
      </c>
      <c r="F26" s="39" t="s">
        <v>64</v>
      </c>
      <c r="G26" s="39" t="s">
        <v>2797</v>
      </c>
      <c r="H26" s="39" t="s">
        <v>2797</v>
      </c>
      <c r="I26" s="40">
        <v>126.187</v>
      </c>
      <c r="N26" s="39" t="s">
        <v>81</v>
      </c>
      <c r="O26" s="39" t="s">
        <v>68</v>
      </c>
      <c r="Q26" s="39">
        <v>1.0</v>
      </c>
      <c r="R26" s="39">
        <v>0.0</v>
      </c>
      <c r="S26" s="39">
        <v>0.0</v>
      </c>
      <c r="T26" s="39">
        <v>0.0</v>
      </c>
      <c r="U26" s="39">
        <v>0.0</v>
      </c>
      <c r="V26" s="39">
        <v>1.0</v>
      </c>
      <c r="W26" s="39">
        <v>0.0</v>
      </c>
      <c r="X26" s="39">
        <v>1.0</v>
      </c>
      <c r="Y26" s="39">
        <v>3.0</v>
      </c>
      <c r="Z26" s="30" t="s">
        <v>2798</v>
      </c>
      <c r="AA26" s="30" t="s">
        <v>2576</v>
      </c>
      <c r="AE26" s="39">
        <v>1.0</v>
      </c>
    </row>
    <row r="27">
      <c r="A27" s="39" t="s">
        <v>2799</v>
      </c>
      <c r="B27" s="39" t="s">
        <v>2791</v>
      </c>
      <c r="C27" s="39" t="s">
        <v>2792</v>
      </c>
      <c r="D27" s="39" t="s">
        <v>2732</v>
      </c>
      <c r="E27" s="39" t="s">
        <v>1771</v>
      </c>
      <c r="F27" s="39" t="s">
        <v>64</v>
      </c>
      <c r="G27" s="39" t="s">
        <v>2800</v>
      </c>
      <c r="L27" s="39" t="s">
        <v>111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E27" s="39">
        <v>1.0</v>
      </c>
    </row>
    <row r="28">
      <c r="A28" s="39" t="s">
        <v>2801</v>
      </c>
      <c r="B28" s="39" t="s">
        <v>2791</v>
      </c>
      <c r="C28" s="39" t="s">
        <v>2792</v>
      </c>
      <c r="D28" s="39" t="s">
        <v>2732</v>
      </c>
      <c r="E28" s="39" t="s">
        <v>1771</v>
      </c>
      <c r="F28" s="39" t="s">
        <v>64</v>
      </c>
      <c r="G28" s="39" t="s">
        <v>2802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1.0</v>
      </c>
      <c r="W28" s="39">
        <v>1.0</v>
      </c>
      <c r="X28" s="39">
        <v>0.0</v>
      </c>
      <c r="Y28" s="39">
        <v>0.0</v>
      </c>
      <c r="AE28" s="39">
        <v>1.0</v>
      </c>
    </row>
    <row r="29">
      <c r="A29" s="39" t="s">
        <v>2803</v>
      </c>
      <c r="B29" s="39" t="s">
        <v>2791</v>
      </c>
      <c r="C29" s="39" t="s">
        <v>2792</v>
      </c>
      <c r="D29" s="39" t="s">
        <v>2732</v>
      </c>
      <c r="E29" s="39" t="s">
        <v>1771</v>
      </c>
      <c r="F29" s="39" t="s">
        <v>64</v>
      </c>
      <c r="G29" s="39" t="s">
        <v>657</v>
      </c>
      <c r="N29" s="39" t="s">
        <v>67</v>
      </c>
      <c r="O29" s="39" t="s">
        <v>68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1.0</v>
      </c>
      <c r="W29" s="39">
        <v>1.0</v>
      </c>
      <c r="X29" s="39">
        <v>1.0</v>
      </c>
      <c r="Y29" s="39">
        <v>0.0</v>
      </c>
      <c r="Z29" s="30" t="s">
        <v>2804</v>
      </c>
      <c r="AA29" s="30" t="s">
        <v>115</v>
      </c>
      <c r="AE29" s="39">
        <v>1.0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2732</v>
      </c>
      <c r="B2" s="39" t="s">
        <v>14</v>
      </c>
      <c r="C2" s="39" t="s">
        <v>64</v>
      </c>
      <c r="D2" s="39" t="s">
        <v>2805</v>
      </c>
      <c r="E2" s="39" t="s">
        <v>2806</v>
      </c>
      <c r="H2" s="39">
        <v>80.0</v>
      </c>
      <c r="M2" s="39" t="s">
        <v>2807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39" t="s">
        <v>377</v>
      </c>
      <c r="B1" s="39" t="s">
        <v>378</v>
      </c>
    </row>
    <row r="2">
      <c r="A2" s="39" t="s">
        <v>2808</v>
      </c>
      <c r="B2" s="39" t="s">
        <v>2731</v>
      </c>
    </row>
    <row r="3">
      <c r="A3" s="39" t="s">
        <v>2809</v>
      </c>
      <c r="B3" s="39" t="s">
        <v>2753</v>
      </c>
    </row>
    <row r="4">
      <c r="A4" s="39" t="s">
        <v>2810</v>
      </c>
      <c r="B4" s="39" t="s">
        <v>2811</v>
      </c>
    </row>
    <row r="5">
      <c r="A5" s="39" t="s">
        <v>2812</v>
      </c>
      <c r="B5" s="39" t="s">
        <v>2770</v>
      </c>
    </row>
    <row r="6">
      <c r="A6" s="39" t="s">
        <v>2813</v>
      </c>
      <c r="B6" s="39" t="s">
        <v>2778</v>
      </c>
    </row>
    <row r="7">
      <c r="A7" s="39" t="s">
        <v>2814</v>
      </c>
      <c r="B7" s="39" t="s">
        <v>2788</v>
      </c>
    </row>
    <row r="8">
      <c r="A8" s="39" t="s">
        <v>2815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2731</v>
      </c>
      <c r="B2" s="39" t="s">
        <v>1972</v>
      </c>
      <c r="C2" s="39" t="s">
        <v>1973</v>
      </c>
      <c r="D2" s="39" t="s">
        <v>2732</v>
      </c>
      <c r="E2" s="39" t="s">
        <v>2310</v>
      </c>
      <c r="F2" s="39" t="s">
        <v>64</v>
      </c>
      <c r="G2" s="39" t="s">
        <v>657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2.0</v>
      </c>
      <c r="Y2" s="39">
        <v>3.0</v>
      </c>
      <c r="Z2" s="30" t="s">
        <v>2733</v>
      </c>
      <c r="AA2" s="30" t="s">
        <v>2734</v>
      </c>
      <c r="AE2" s="39">
        <v>1.0</v>
      </c>
    </row>
    <row r="3">
      <c r="A3" s="39" t="s">
        <v>2735</v>
      </c>
      <c r="B3" s="39" t="s">
        <v>1972</v>
      </c>
      <c r="C3" s="39" t="s">
        <v>1973</v>
      </c>
      <c r="D3" s="39" t="s">
        <v>2732</v>
      </c>
      <c r="E3" s="39" t="s">
        <v>2310</v>
      </c>
      <c r="F3" s="39" t="s">
        <v>64</v>
      </c>
      <c r="G3" s="39" t="s">
        <v>662</v>
      </c>
      <c r="N3" s="39" t="s">
        <v>81</v>
      </c>
      <c r="O3" s="39" t="s">
        <v>68</v>
      </c>
      <c r="Q3" s="39">
        <v>1.0</v>
      </c>
      <c r="R3" s="39">
        <v>0.0</v>
      </c>
      <c r="S3" s="39">
        <v>0.0</v>
      </c>
      <c r="T3" s="39">
        <v>0.0</v>
      </c>
      <c r="U3" s="39">
        <v>0.0</v>
      </c>
      <c r="V3" s="39">
        <v>1.0</v>
      </c>
      <c r="W3" s="39">
        <v>1.0</v>
      </c>
      <c r="X3" s="39">
        <v>0.0</v>
      </c>
      <c r="Y3" s="39">
        <v>0.0</v>
      </c>
      <c r="AE3" s="39">
        <v>1.0</v>
      </c>
    </row>
    <row r="4">
      <c r="A4" s="39" t="s">
        <v>2736</v>
      </c>
      <c r="B4" s="39" t="s">
        <v>1972</v>
      </c>
      <c r="C4" s="39" t="s">
        <v>1973</v>
      </c>
      <c r="D4" s="39" t="s">
        <v>2732</v>
      </c>
      <c r="E4" s="39" t="s">
        <v>2310</v>
      </c>
      <c r="F4" s="39" t="s">
        <v>64</v>
      </c>
      <c r="G4" s="39" t="s">
        <v>65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2.0</v>
      </c>
      <c r="Y4" s="39">
        <v>0.0</v>
      </c>
      <c r="Z4" s="30" t="s">
        <v>2737</v>
      </c>
      <c r="AA4" s="30" t="s">
        <v>78</v>
      </c>
      <c r="AE4" s="39">
        <v>1.0</v>
      </c>
    </row>
    <row r="5">
      <c r="A5" s="39" t="s">
        <v>2816</v>
      </c>
      <c r="B5" s="39" t="s">
        <v>1972</v>
      </c>
      <c r="C5" s="39" t="s">
        <v>1973</v>
      </c>
      <c r="D5" s="39" t="s">
        <v>2732</v>
      </c>
      <c r="E5" s="39" t="s">
        <v>2310</v>
      </c>
      <c r="F5" s="39" t="s">
        <v>64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1.0</v>
      </c>
      <c r="Y5" s="39">
        <v>2.0</v>
      </c>
      <c r="Z5" s="30" t="s">
        <v>2817</v>
      </c>
      <c r="AA5" s="30" t="s">
        <v>1138</v>
      </c>
      <c r="AE5" s="39">
        <v>1.0</v>
      </c>
    </row>
    <row r="6">
      <c r="A6" s="39" t="s">
        <v>2741</v>
      </c>
      <c r="B6" s="39" t="s">
        <v>1972</v>
      </c>
      <c r="C6" s="39" t="s">
        <v>1973</v>
      </c>
      <c r="D6" s="39" t="s">
        <v>2732</v>
      </c>
      <c r="E6" s="39" t="s">
        <v>2310</v>
      </c>
      <c r="F6" s="39" t="s">
        <v>64</v>
      </c>
      <c r="G6" s="39" t="s">
        <v>2742</v>
      </c>
      <c r="H6" s="39" t="s">
        <v>2742</v>
      </c>
      <c r="N6" s="39" t="s">
        <v>81</v>
      </c>
      <c r="O6" s="39" t="s">
        <v>68</v>
      </c>
      <c r="Q6" s="39">
        <v>1.0</v>
      </c>
      <c r="R6" s="39">
        <v>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2.0</v>
      </c>
      <c r="Y6" s="39">
        <v>2.0</v>
      </c>
      <c r="Z6" s="30" t="s">
        <v>2743</v>
      </c>
      <c r="AA6" s="30" t="s">
        <v>2086</v>
      </c>
      <c r="AE6" s="39">
        <v>1.0</v>
      </c>
    </row>
    <row r="7">
      <c r="A7" s="39" t="s">
        <v>2744</v>
      </c>
      <c r="B7" s="39" t="s">
        <v>1972</v>
      </c>
      <c r="C7" s="39" t="s">
        <v>1973</v>
      </c>
      <c r="D7" s="39" t="s">
        <v>2732</v>
      </c>
      <c r="E7" s="39" t="s">
        <v>2310</v>
      </c>
      <c r="F7" s="39" t="s">
        <v>64</v>
      </c>
      <c r="G7" s="39" t="s">
        <v>2745</v>
      </c>
      <c r="H7" s="39" t="s">
        <v>2745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2.0</v>
      </c>
      <c r="Y7" s="39">
        <v>1.0</v>
      </c>
      <c r="Z7" s="30" t="s">
        <v>2746</v>
      </c>
      <c r="AA7" s="30" t="s">
        <v>1703</v>
      </c>
      <c r="AE7" s="39">
        <v>1.0</v>
      </c>
    </row>
    <row r="8">
      <c r="A8" s="39" t="s">
        <v>2818</v>
      </c>
      <c r="B8" s="39" t="s">
        <v>1972</v>
      </c>
      <c r="C8" s="39" t="s">
        <v>1973</v>
      </c>
      <c r="D8" s="39" t="s">
        <v>2732</v>
      </c>
      <c r="E8" s="39" t="s">
        <v>2310</v>
      </c>
      <c r="F8" s="39" t="s">
        <v>64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E8" s="39">
        <v>1.0</v>
      </c>
    </row>
    <row r="9">
      <c r="A9" s="39" t="s">
        <v>2819</v>
      </c>
      <c r="B9" s="39" t="s">
        <v>2750</v>
      </c>
      <c r="C9" s="39" t="s">
        <v>2751</v>
      </c>
      <c r="D9" s="39" t="s">
        <v>2732</v>
      </c>
      <c r="E9" s="39" t="s">
        <v>2310</v>
      </c>
      <c r="F9" s="39" t="s">
        <v>64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1.0</v>
      </c>
      <c r="W9" s="39">
        <v>0.0</v>
      </c>
      <c r="X9" s="39">
        <v>0.0</v>
      </c>
      <c r="Y9" s="39">
        <v>0.0</v>
      </c>
      <c r="AE9" s="39">
        <v>1.0</v>
      </c>
    </row>
    <row r="10">
      <c r="A10" s="39" t="s">
        <v>2820</v>
      </c>
      <c r="B10" s="39" t="s">
        <v>2750</v>
      </c>
      <c r="C10" s="39" t="s">
        <v>2751</v>
      </c>
      <c r="D10" s="39" t="s">
        <v>2732</v>
      </c>
      <c r="E10" s="39" t="s">
        <v>2310</v>
      </c>
      <c r="F10" s="39" t="s">
        <v>64</v>
      </c>
      <c r="N10" s="39" t="s">
        <v>81</v>
      </c>
      <c r="O10" s="39" t="s">
        <v>68</v>
      </c>
      <c r="Q10" s="39">
        <v>1.0</v>
      </c>
      <c r="R10" s="39">
        <v>0.0</v>
      </c>
      <c r="S10" s="39">
        <v>0.0</v>
      </c>
      <c r="T10" s="39">
        <v>0.0</v>
      </c>
      <c r="U10" s="39">
        <v>0.0</v>
      </c>
      <c r="V10" s="39">
        <v>1.0</v>
      </c>
      <c r="W10" s="39">
        <v>0.0</v>
      </c>
      <c r="X10" s="39">
        <v>0.0</v>
      </c>
      <c r="Y10" s="39">
        <v>0.0</v>
      </c>
      <c r="AE10" s="39">
        <v>1.0</v>
      </c>
    </row>
    <row r="11">
      <c r="A11" s="39" t="s">
        <v>2821</v>
      </c>
      <c r="B11" s="39" t="s">
        <v>2750</v>
      </c>
      <c r="C11" s="39" t="s">
        <v>2751</v>
      </c>
      <c r="D11" s="39" t="s">
        <v>2732</v>
      </c>
      <c r="E11" s="39" t="s">
        <v>2310</v>
      </c>
      <c r="F11" s="39" t="s">
        <v>64</v>
      </c>
      <c r="N11" s="39" t="s">
        <v>81</v>
      </c>
      <c r="O11" s="39" t="s">
        <v>68</v>
      </c>
      <c r="Q11" s="39">
        <v>1.0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E11" s="39">
        <v>1.0</v>
      </c>
    </row>
    <row r="12">
      <c r="A12" s="39" t="s">
        <v>2764</v>
      </c>
      <c r="B12" s="39" t="s">
        <v>2765</v>
      </c>
      <c r="C12" s="39" t="s">
        <v>2766</v>
      </c>
      <c r="D12" s="39" t="s">
        <v>2732</v>
      </c>
      <c r="E12" s="39" t="s">
        <v>2310</v>
      </c>
      <c r="F12" s="39" t="s">
        <v>64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E12" s="39">
        <v>1.0</v>
      </c>
    </row>
    <row r="13">
      <c r="A13" s="39" t="s">
        <v>2822</v>
      </c>
      <c r="B13" s="39" t="s">
        <v>2765</v>
      </c>
      <c r="C13" s="39" t="s">
        <v>2766</v>
      </c>
      <c r="D13" s="39" t="s">
        <v>2732</v>
      </c>
      <c r="E13" s="39" t="s">
        <v>2310</v>
      </c>
      <c r="F13" s="39" t="s">
        <v>64</v>
      </c>
      <c r="N13" s="39" t="s">
        <v>81</v>
      </c>
      <c r="O13" s="39" t="s">
        <v>68</v>
      </c>
      <c r="Q13" s="39">
        <v>1.0</v>
      </c>
      <c r="R13" s="39">
        <v>0.0</v>
      </c>
      <c r="S13" s="39">
        <v>0.0</v>
      </c>
      <c r="T13" s="39">
        <v>0.0</v>
      </c>
      <c r="U13" s="39">
        <v>0.0</v>
      </c>
      <c r="V13" s="39">
        <v>1.0</v>
      </c>
      <c r="W13" s="39">
        <v>0.0</v>
      </c>
      <c r="X13" s="39">
        <v>1.0</v>
      </c>
      <c r="Y13" s="39">
        <v>0.0</v>
      </c>
      <c r="Z13" s="30" t="s">
        <v>2823</v>
      </c>
      <c r="AA13" s="30" t="s">
        <v>115</v>
      </c>
      <c r="AE13" s="39">
        <v>1.0</v>
      </c>
    </row>
    <row r="14">
      <c r="A14" s="39" t="s">
        <v>2824</v>
      </c>
      <c r="B14" s="39" t="s">
        <v>2765</v>
      </c>
      <c r="C14" s="39" t="s">
        <v>2766</v>
      </c>
      <c r="D14" s="39" t="s">
        <v>2732</v>
      </c>
      <c r="E14" s="39" t="s">
        <v>2310</v>
      </c>
      <c r="F14" s="39" t="s">
        <v>64</v>
      </c>
      <c r="N14" s="39" t="s">
        <v>81</v>
      </c>
      <c r="O14" s="39" t="s">
        <v>68</v>
      </c>
      <c r="Q14" s="39">
        <v>1.0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E14" s="39">
        <v>1.0</v>
      </c>
    </row>
    <row r="15">
      <c r="A15" s="39" t="s">
        <v>2772</v>
      </c>
      <c r="B15" s="39" t="s">
        <v>2773</v>
      </c>
      <c r="C15" s="39" t="s">
        <v>2774</v>
      </c>
      <c r="D15" s="39" t="s">
        <v>2732</v>
      </c>
      <c r="E15" s="39" t="s">
        <v>2310</v>
      </c>
      <c r="F15" s="39" t="s">
        <v>64</v>
      </c>
      <c r="N15" s="39" t="s">
        <v>81</v>
      </c>
      <c r="O15" s="39" t="s">
        <v>68</v>
      </c>
      <c r="Q15" s="39">
        <v>1.0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E15" s="39">
        <v>1.0</v>
      </c>
    </row>
    <row r="16">
      <c r="A16" s="39" t="s">
        <v>2825</v>
      </c>
      <c r="B16" s="39" t="s">
        <v>2773</v>
      </c>
      <c r="C16" s="39" t="s">
        <v>2774</v>
      </c>
      <c r="D16" s="39" t="s">
        <v>2732</v>
      </c>
      <c r="E16" s="39" t="s">
        <v>2310</v>
      </c>
      <c r="F16" s="39" t="s">
        <v>64</v>
      </c>
      <c r="N16" s="39" t="s">
        <v>81</v>
      </c>
      <c r="O16" s="39" t="s">
        <v>68</v>
      </c>
      <c r="Q16" s="39">
        <v>1.0</v>
      </c>
      <c r="R16" s="39">
        <v>0.0</v>
      </c>
      <c r="S16" s="39">
        <v>0.0</v>
      </c>
      <c r="T16" s="39">
        <v>0.0</v>
      </c>
      <c r="U16" s="39">
        <v>0.0</v>
      </c>
      <c r="V16" s="39">
        <v>1.0</v>
      </c>
      <c r="W16" s="39">
        <v>0.0</v>
      </c>
      <c r="X16" s="39">
        <v>1.0</v>
      </c>
      <c r="Y16" s="39">
        <v>0.0</v>
      </c>
      <c r="Z16" s="30" t="s">
        <v>2823</v>
      </c>
      <c r="AA16" s="30" t="s">
        <v>115</v>
      </c>
      <c r="AE16" s="39">
        <v>1.0</v>
      </c>
    </row>
    <row r="17">
      <c r="A17" s="39" t="s">
        <v>2826</v>
      </c>
      <c r="B17" s="39" t="s">
        <v>2773</v>
      </c>
      <c r="C17" s="39" t="s">
        <v>2774</v>
      </c>
      <c r="D17" s="39" t="s">
        <v>2732</v>
      </c>
      <c r="E17" s="39" t="s">
        <v>2310</v>
      </c>
      <c r="F17" s="39" t="s">
        <v>64</v>
      </c>
      <c r="N17" s="39" t="s">
        <v>81</v>
      </c>
      <c r="O17" s="39" t="s">
        <v>68</v>
      </c>
      <c r="Q17" s="39">
        <v>1.0</v>
      </c>
      <c r="R17" s="39">
        <v>0.0</v>
      </c>
      <c r="S17" s="39">
        <v>0.0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E17" s="39">
        <v>1.0</v>
      </c>
    </row>
    <row r="18">
      <c r="A18" s="39" t="s">
        <v>2780</v>
      </c>
      <c r="B18" s="39" t="s">
        <v>2781</v>
      </c>
      <c r="C18" s="39" t="s">
        <v>2782</v>
      </c>
      <c r="D18" s="39" t="s">
        <v>2732</v>
      </c>
      <c r="E18" s="39" t="s">
        <v>2310</v>
      </c>
      <c r="F18" s="39" t="s">
        <v>64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E18" s="39">
        <v>1.0</v>
      </c>
    </row>
    <row r="19">
      <c r="A19" s="39" t="s">
        <v>2827</v>
      </c>
      <c r="B19" s="39" t="s">
        <v>2781</v>
      </c>
      <c r="C19" s="39" t="s">
        <v>2782</v>
      </c>
      <c r="D19" s="39" t="s">
        <v>2732</v>
      </c>
      <c r="E19" s="39" t="s">
        <v>2310</v>
      </c>
      <c r="F19" s="39" t="s">
        <v>64</v>
      </c>
      <c r="N19" s="39" t="s">
        <v>119</v>
      </c>
      <c r="O19" s="39" t="s">
        <v>68</v>
      </c>
      <c r="Q19" s="39">
        <v>0.0</v>
      </c>
      <c r="R19" s="39">
        <v>1.0</v>
      </c>
      <c r="S19" s="39">
        <v>0.0</v>
      </c>
      <c r="T19" s="39">
        <v>0.0</v>
      </c>
      <c r="U19" s="39">
        <v>0.0</v>
      </c>
      <c r="V19" s="39">
        <v>1.0</v>
      </c>
      <c r="W19" s="39">
        <v>0.0</v>
      </c>
      <c r="X19" s="39">
        <v>1.0</v>
      </c>
      <c r="Y19" s="39">
        <v>0.0</v>
      </c>
      <c r="Z19" s="30" t="s">
        <v>2823</v>
      </c>
      <c r="AA19" s="30" t="s">
        <v>115</v>
      </c>
      <c r="AE19" s="39">
        <v>1.0</v>
      </c>
    </row>
    <row r="20">
      <c r="A20" s="39" t="s">
        <v>2828</v>
      </c>
      <c r="B20" s="39" t="s">
        <v>2781</v>
      </c>
      <c r="C20" s="39" t="s">
        <v>2782</v>
      </c>
      <c r="D20" s="39" t="s">
        <v>2732</v>
      </c>
      <c r="E20" s="39" t="s">
        <v>2310</v>
      </c>
      <c r="F20" s="39" t="s">
        <v>64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E20" s="39">
        <v>1.0</v>
      </c>
    </row>
    <row r="21">
      <c r="A21" s="39" t="s">
        <v>2790</v>
      </c>
      <c r="B21" s="39" t="s">
        <v>2791</v>
      </c>
      <c r="C21" s="39" t="s">
        <v>2792</v>
      </c>
      <c r="D21" s="39" t="s">
        <v>2732</v>
      </c>
      <c r="E21" s="39" t="s">
        <v>2310</v>
      </c>
      <c r="F21" s="39" t="s">
        <v>64</v>
      </c>
      <c r="N21" s="39" t="s">
        <v>119</v>
      </c>
      <c r="O21" s="39" t="s">
        <v>68</v>
      </c>
      <c r="Q21" s="39">
        <v>0.0</v>
      </c>
      <c r="R21" s="39">
        <v>1.0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E21" s="39">
        <v>1.0</v>
      </c>
    </row>
    <row r="22">
      <c r="A22" s="39" t="s">
        <v>2829</v>
      </c>
      <c r="B22" s="39" t="s">
        <v>2791</v>
      </c>
      <c r="C22" s="39" t="s">
        <v>2792</v>
      </c>
      <c r="D22" s="39" t="s">
        <v>2732</v>
      </c>
      <c r="E22" s="39" t="s">
        <v>2310</v>
      </c>
      <c r="F22" s="39" t="s">
        <v>64</v>
      </c>
      <c r="N22" s="39" t="s">
        <v>119</v>
      </c>
      <c r="O22" s="39" t="s">
        <v>68</v>
      </c>
      <c r="Q22" s="39">
        <v>0.0</v>
      </c>
      <c r="R22" s="39">
        <v>1.0</v>
      </c>
      <c r="S22" s="39">
        <v>0.0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E22" s="39">
        <v>1.0</v>
      </c>
    </row>
    <row r="23">
      <c r="A23" s="39" t="s">
        <v>2830</v>
      </c>
      <c r="B23" s="39" t="s">
        <v>2791</v>
      </c>
      <c r="C23" s="39" t="s">
        <v>2792</v>
      </c>
      <c r="D23" s="39" t="s">
        <v>2732</v>
      </c>
      <c r="E23" s="39" t="s">
        <v>2310</v>
      </c>
      <c r="F23" s="39" t="s">
        <v>64</v>
      </c>
      <c r="N23" s="39" t="s">
        <v>81</v>
      </c>
      <c r="O23" s="39" t="s">
        <v>68</v>
      </c>
      <c r="Q23" s="39">
        <v>1.0</v>
      </c>
      <c r="R23" s="39">
        <v>0.0</v>
      </c>
      <c r="S23" s="39">
        <v>0.0</v>
      </c>
      <c r="T23" s="39">
        <v>0.0</v>
      </c>
      <c r="U23" s="39">
        <v>0.0</v>
      </c>
      <c r="V23" s="39">
        <v>1.0</v>
      </c>
      <c r="W23" s="39">
        <v>0.0</v>
      </c>
      <c r="X23" s="39">
        <v>2.0</v>
      </c>
      <c r="Y23" s="39">
        <v>2.0</v>
      </c>
      <c r="Z23" s="30" t="s">
        <v>2831</v>
      </c>
      <c r="AA23" s="30" t="s">
        <v>2086</v>
      </c>
      <c r="AE23" s="39">
        <v>1.0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2832</v>
      </c>
      <c r="B2" s="39" t="s">
        <v>2833</v>
      </c>
      <c r="C2" s="39" t="s">
        <v>64</v>
      </c>
      <c r="D2" s="39" t="s">
        <v>2834</v>
      </c>
      <c r="E2" s="39" t="s">
        <v>2835</v>
      </c>
      <c r="H2" s="39">
        <v>30.0</v>
      </c>
      <c r="M2" s="39" t="s">
        <v>2836</v>
      </c>
      <c r="O2" s="39" t="s">
        <v>2824</v>
      </c>
    </row>
    <row r="3">
      <c r="A3" s="39" t="s">
        <v>2832</v>
      </c>
      <c r="B3" s="39" t="s">
        <v>2833</v>
      </c>
      <c r="C3" s="39" t="s">
        <v>64</v>
      </c>
      <c r="D3" s="39" t="s">
        <v>2837</v>
      </c>
      <c r="E3" s="39" t="s">
        <v>2838</v>
      </c>
      <c r="H3" s="39">
        <v>30.0</v>
      </c>
      <c r="M3" s="39" t="s">
        <v>2839</v>
      </c>
      <c r="O3" s="39" t="s">
        <v>2840</v>
      </c>
    </row>
    <row r="4">
      <c r="A4" s="39" t="s">
        <v>2832</v>
      </c>
      <c r="B4" s="39" t="s">
        <v>2833</v>
      </c>
      <c r="C4" s="39" t="s">
        <v>64</v>
      </c>
      <c r="D4" s="39" t="s">
        <v>2787</v>
      </c>
      <c r="E4" s="39" t="s">
        <v>2841</v>
      </c>
      <c r="H4" s="39">
        <v>30.0</v>
      </c>
      <c r="M4" s="39" t="s">
        <v>2842</v>
      </c>
      <c r="O4" s="39" t="s">
        <v>2828</v>
      </c>
    </row>
    <row r="5">
      <c r="A5" s="39" t="s">
        <v>2832</v>
      </c>
      <c r="B5" s="39" t="s">
        <v>2833</v>
      </c>
      <c r="C5" s="39" t="s">
        <v>64</v>
      </c>
      <c r="D5" s="39" t="s">
        <v>2843</v>
      </c>
      <c r="E5" s="39" t="s">
        <v>2844</v>
      </c>
      <c r="H5" s="39">
        <v>25.0</v>
      </c>
      <c r="M5" s="39" t="s">
        <v>2845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2846</v>
      </c>
      <c r="B2" s="39" t="s">
        <v>2791</v>
      </c>
      <c r="C2" s="39" t="s">
        <v>2792</v>
      </c>
      <c r="D2" s="39" t="s">
        <v>2847</v>
      </c>
      <c r="E2" s="39" t="s">
        <v>2359</v>
      </c>
      <c r="F2" s="39" t="s">
        <v>397</v>
      </c>
      <c r="G2" s="39" t="s">
        <v>657</v>
      </c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1.0</v>
      </c>
      <c r="W2" s="39">
        <v>1.0</v>
      </c>
      <c r="X2" s="39">
        <v>1.0</v>
      </c>
      <c r="Y2" s="39">
        <v>0.0</v>
      </c>
      <c r="Z2" s="30" t="s">
        <v>2848</v>
      </c>
      <c r="AA2" s="30" t="s">
        <v>115</v>
      </c>
      <c r="AE2" s="39">
        <v>1.0</v>
      </c>
    </row>
    <row r="3">
      <c r="A3" s="39" t="s">
        <v>2849</v>
      </c>
      <c r="B3" s="39" t="s">
        <v>2791</v>
      </c>
      <c r="C3" s="39" t="s">
        <v>2792</v>
      </c>
      <c r="D3" s="39" t="s">
        <v>2847</v>
      </c>
      <c r="E3" s="39" t="s">
        <v>2359</v>
      </c>
      <c r="F3" s="39" t="s">
        <v>397</v>
      </c>
      <c r="G3" s="39" t="s">
        <v>2850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1.0</v>
      </c>
      <c r="Y3" s="39">
        <v>0.0</v>
      </c>
      <c r="Z3" s="30" t="s">
        <v>2848</v>
      </c>
      <c r="AA3" s="30" t="s">
        <v>115</v>
      </c>
      <c r="AE3" s="39">
        <v>1.0</v>
      </c>
    </row>
    <row r="4">
      <c r="A4" s="39" t="s">
        <v>2851</v>
      </c>
      <c r="B4" s="39" t="s">
        <v>2791</v>
      </c>
      <c r="C4" s="39" t="s">
        <v>2792</v>
      </c>
      <c r="D4" s="39" t="s">
        <v>2847</v>
      </c>
      <c r="E4" s="39" t="s">
        <v>2359</v>
      </c>
      <c r="F4" s="39" t="s">
        <v>397</v>
      </c>
      <c r="G4" s="39" t="s">
        <v>662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1.0</v>
      </c>
      <c r="Y4" s="39">
        <v>0.0</v>
      </c>
      <c r="Z4" s="30" t="s">
        <v>2848</v>
      </c>
      <c r="AA4" s="30" t="s">
        <v>115</v>
      </c>
      <c r="AE4" s="39">
        <v>1.0</v>
      </c>
    </row>
    <row r="5">
      <c r="A5" s="39" t="s">
        <v>2852</v>
      </c>
      <c r="B5" s="39" t="s">
        <v>2791</v>
      </c>
      <c r="C5" s="39" t="s">
        <v>2792</v>
      </c>
      <c r="D5" s="39" t="s">
        <v>2847</v>
      </c>
      <c r="E5" s="39" t="s">
        <v>2359</v>
      </c>
      <c r="F5" s="39" t="s">
        <v>397</v>
      </c>
      <c r="G5" s="39" t="s">
        <v>65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1.0</v>
      </c>
      <c r="W5" s="39">
        <v>1.0</v>
      </c>
      <c r="X5" s="39">
        <v>0.0</v>
      </c>
      <c r="Y5" s="39">
        <v>1.0</v>
      </c>
      <c r="Z5" s="30" t="s">
        <v>2853</v>
      </c>
      <c r="AA5" s="30" t="s">
        <v>97</v>
      </c>
      <c r="AE5" s="39">
        <v>1.0</v>
      </c>
    </row>
    <row r="6">
      <c r="A6" s="39" t="s">
        <v>2854</v>
      </c>
      <c r="B6" s="39" t="s">
        <v>2791</v>
      </c>
      <c r="C6" s="39" t="s">
        <v>2792</v>
      </c>
      <c r="D6" s="39" t="s">
        <v>2847</v>
      </c>
      <c r="E6" s="39" t="s">
        <v>2359</v>
      </c>
      <c r="F6" s="39" t="s">
        <v>397</v>
      </c>
      <c r="G6" s="39" t="s">
        <v>72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1.0</v>
      </c>
      <c r="W6" s="39">
        <v>1.0</v>
      </c>
      <c r="X6" s="39">
        <v>0.0</v>
      </c>
      <c r="Y6" s="39">
        <v>0.0</v>
      </c>
      <c r="AE6" s="39">
        <v>1.0</v>
      </c>
    </row>
    <row r="7">
      <c r="A7" s="39" t="s">
        <v>2855</v>
      </c>
      <c r="B7" s="39" t="s">
        <v>2791</v>
      </c>
      <c r="C7" s="39" t="s">
        <v>2792</v>
      </c>
      <c r="D7" s="39" t="s">
        <v>2847</v>
      </c>
      <c r="E7" s="39" t="s">
        <v>2359</v>
      </c>
      <c r="F7" s="39" t="s">
        <v>397</v>
      </c>
      <c r="G7" s="39" t="s">
        <v>2856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1.0</v>
      </c>
      <c r="W7" s="39">
        <v>1.0</v>
      </c>
      <c r="X7" s="39">
        <v>0.0</v>
      </c>
      <c r="Y7" s="39">
        <v>0.0</v>
      </c>
      <c r="AE7" s="39">
        <v>1.0</v>
      </c>
    </row>
    <row r="8">
      <c r="A8" s="39" t="s">
        <v>2857</v>
      </c>
      <c r="B8" s="39" t="s">
        <v>2791</v>
      </c>
      <c r="C8" s="39" t="s">
        <v>2792</v>
      </c>
      <c r="D8" s="39" t="s">
        <v>2847</v>
      </c>
      <c r="E8" s="39" t="s">
        <v>2359</v>
      </c>
      <c r="F8" s="39" t="s">
        <v>397</v>
      </c>
      <c r="G8" s="39" t="s">
        <v>2858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1.0</v>
      </c>
      <c r="W8" s="39">
        <v>1.0</v>
      </c>
      <c r="X8" s="39">
        <v>0.0</v>
      </c>
      <c r="Y8" s="39">
        <v>0.0</v>
      </c>
      <c r="AE8" s="39">
        <v>1.0</v>
      </c>
    </row>
    <row r="9">
      <c r="A9" s="39" t="s">
        <v>2859</v>
      </c>
      <c r="B9" s="39" t="s">
        <v>2791</v>
      </c>
      <c r="C9" s="39" t="s">
        <v>2792</v>
      </c>
      <c r="D9" s="39" t="s">
        <v>2847</v>
      </c>
      <c r="E9" s="39" t="s">
        <v>2359</v>
      </c>
      <c r="F9" s="39" t="s">
        <v>397</v>
      </c>
      <c r="N9" s="39" t="s">
        <v>81</v>
      </c>
      <c r="O9" s="39" t="s">
        <v>68</v>
      </c>
      <c r="Q9" s="39">
        <v>1.0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E9" s="39">
        <v>1.0</v>
      </c>
    </row>
    <row r="10">
      <c r="A10" s="39" t="s">
        <v>2542</v>
      </c>
      <c r="B10" s="39" t="s">
        <v>2860</v>
      </c>
      <c r="C10" s="39" t="s">
        <v>2792</v>
      </c>
      <c r="D10" s="39" t="s">
        <v>2847</v>
      </c>
      <c r="E10" s="39" t="s">
        <v>2359</v>
      </c>
      <c r="F10" s="39" t="s">
        <v>397</v>
      </c>
      <c r="N10" s="39" t="s">
        <v>119</v>
      </c>
      <c r="O10" s="39" t="s">
        <v>68</v>
      </c>
      <c r="Q10" s="39">
        <v>0.0</v>
      </c>
      <c r="R10" s="39">
        <v>1.0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E10" s="39">
        <v>1.0</v>
      </c>
    </row>
    <row r="11">
      <c r="A11" s="39" t="s">
        <v>2861</v>
      </c>
      <c r="B11" s="39" t="s">
        <v>2860</v>
      </c>
      <c r="C11" s="39" t="s">
        <v>2792</v>
      </c>
      <c r="D11" s="39" t="s">
        <v>2847</v>
      </c>
      <c r="E11" s="39" t="s">
        <v>2359</v>
      </c>
      <c r="F11" s="39" t="s">
        <v>397</v>
      </c>
      <c r="N11" s="39" t="s">
        <v>119</v>
      </c>
      <c r="O11" s="39" t="s">
        <v>68</v>
      </c>
      <c r="Q11" s="39">
        <v>0.0</v>
      </c>
      <c r="R11" s="39">
        <v>1.0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E11" s="39">
        <v>1.0</v>
      </c>
    </row>
    <row r="12">
      <c r="A12" s="39" t="s">
        <v>2862</v>
      </c>
      <c r="B12" s="39" t="s">
        <v>2781</v>
      </c>
      <c r="C12" s="39" t="s">
        <v>2782</v>
      </c>
      <c r="D12" s="39" t="s">
        <v>2847</v>
      </c>
      <c r="E12" s="39" t="s">
        <v>2359</v>
      </c>
      <c r="F12" s="39" t="s">
        <v>397</v>
      </c>
      <c r="N12" s="39" t="s">
        <v>81</v>
      </c>
      <c r="O12" s="39" t="s">
        <v>68</v>
      </c>
      <c r="Q12" s="39">
        <v>1.0</v>
      </c>
      <c r="R12" s="39">
        <v>0.0</v>
      </c>
      <c r="S12" s="39">
        <v>0.0</v>
      </c>
      <c r="T12" s="39">
        <v>0.0</v>
      </c>
      <c r="U12" s="39">
        <v>0.0</v>
      </c>
      <c r="V12" s="39">
        <v>1.0</v>
      </c>
      <c r="W12" s="39">
        <v>0.0</v>
      </c>
      <c r="X12" s="39">
        <v>0.0</v>
      </c>
      <c r="Y12" s="39">
        <v>0.0</v>
      </c>
      <c r="AE12" s="39">
        <v>1.0</v>
      </c>
    </row>
    <row r="13">
      <c r="A13" s="39" t="s">
        <v>2863</v>
      </c>
      <c r="B13" s="39" t="s">
        <v>2781</v>
      </c>
      <c r="C13" s="39" t="s">
        <v>2782</v>
      </c>
      <c r="D13" s="39" t="s">
        <v>2847</v>
      </c>
      <c r="E13" s="39" t="s">
        <v>2359</v>
      </c>
      <c r="F13" s="39" t="s">
        <v>397</v>
      </c>
      <c r="N13" s="39" t="s">
        <v>81</v>
      </c>
      <c r="O13" s="39" t="s">
        <v>68</v>
      </c>
      <c r="Q13" s="39">
        <v>1.0</v>
      </c>
      <c r="R13" s="39">
        <v>0.0</v>
      </c>
      <c r="S13" s="39">
        <v>0.0</v>
      </c>
      <c r="T13" s="39">
        <v>0.0</v>
      </c>
      <c r="U13" s="39">
        <v>0.0</v>
      </c>
      <c r="V13" s="39">
        <v>1.0</v>
      </c>
      <c r="W13" s="39">
        <v>0.0</v>
      </c>
      <c r="X13" s="39">
        <v>1.0</v>
      </c>
      <c r="Y13" s="39">
        <v>0.0</v>
      </c>
      <c r="Z13" s="30" t="s">
        <v>2848</v>
      </c>
      <c r="AA13" s="30" t="s">
        <v>115</v>
      </c>
      <c r="AE13" s="39">
        <v>1.0</v>
      </c>
    </row>
    <row r="14">
      <c r="A14" s="39" t="s">
        <v>2864</v>
      </c>
      <c r="B14" s="39" t="s">
        <v>2781</v>
      </c>
      <c r="C14" s="39" t="s">
        <v>2782</v>
      </c>
      <c r="D14" s="39" t="s">
        <v>2847</v>
      </c>
      <c r="E14" s="39" t="s">
        <v>2359</v>
      </c>
      <c r="F14" s="39" t="s">
        <v>397</v>
      </c>
      <c r="N14" s="39" t="s">
        <v>81</v>
      </c>
      <c r="O14" s="39" t="s">
        <v>68</v>
      </c>
      <c r="Q14" s="39">
        <v>1.0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E14" s="39">
        <v>1.0</v>
      </c>
    </row>
    <row r="15">
      <c r="A15" s="39" t="s">
        <v>2772</v>
      </c>
      <c r="B15" s="39" t="s">
        <v>2773</v>
      </c>
      <c r="C15" s="39" t="s">
        <v>2774</v>
      </c>
      <c r="D15" s="39" t="s">
        <v>2847</v>
      </c>
      <c r="E15" s="39" t="s">
        <v>2359</v>
      </c>
      <c r="F15" s="39" t="s">
        <v>397</v>
      </c>
      <c r="N15" s="39" t="s">
        <v>81</v>
      </c>
      <c r="O15" s="39" t="s">
        <v>68</v>
      </c>
      <c r="Q15" s="39">
        <v>1.0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E15" s="39">
        <v>1.0</v>
      </c>
    </row>
    <row r="16">
      <c r="A16" s="39" t="s">
        <v>2865</v>
      </c>
      <c r="B16" s="39" t="s">
        <v>2773</v>
      </c>
      <c r="C16" s="39" t="s">
        <v>2774</v>
      </c>
      <c r="D16" s="39" t="s">
        <v>2847</v>
      </c>
      <c r="E16" s="39" t="s">
        <v>2359</v>
      </c>
      <c r="F16" s="39" t="s">
        <v>397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1.0</v>
      </c>
      <c r="W16" s="39">
        <v>0.0</v>
      </c>
      <c r="X16" s="39">
        <v>1.0</v>
      </c>
      <c r="Y16" s="39">
        <v>0.0</v>
      </c>
      <c r="Z16" s="30" t="s">
        <v>2848</v>
      </c>
      <c r="AA16" s="30" t="s">
        <v>115</v>
      </c>
      <c r="AE16" s="39">
        <v>1.0</v>
      </c>
    </row>
    <row r="17">
      <c r="A17" s="39" t="s">
        <v>2866</v>
      </c>
      <c r="B17" s="39" t="s">
        <v>2773</v>
      </c>
      <c r="C17" s="39" t="s">
        <v>2774</v>
      </c>
      <c r="D17" s="39" t="s">
        <v>2847</v>
      </c>
      <c r="E17" s="39" t="s">
        <v>2359</v>
      </c>
      <c r="F17" s="39" t="s">
        <v>397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E17" s="39">
        <v>1.0</v>
      </c>
    </row>
    <row r="18">
      <c r="A18" s="39" t="s">
        <v>2764</v>
      </c>
      <c r="B18" s="39" t="s">
        <v>2765</v>
      </c>
      <c r="C18" s="39" t="s">
        <v>2766</v>
      </c>
      <c r="D18" s="39" t="s">
        <v>2847</v>
      </c>
      <c r="E18" s="39" t="s">
        <v>2359</v>
      </c>
      <c r="F18" s="39" t="s">
        <v>397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E18" s="39">
        <v>1.0</v>
      </c>
    </row>
    <row r="19">
      <c r="A19" s="39" t="s">
        <v>2867</v>
      </c>
      <c r="B19" s="39" t="s">
        <v>2765</v>
      </c>
      <c r="C19" s="39" t="s">
        <v>2766</v>
      </c>
      <c r="D19" s="39" t="s">
        <v>2847</v>
      </c>
      <c r="E19" s="39" t="s">
        <v>2359</v>
      </c>
      <c r="F19" s="39" t="s">
        <v>397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E19" s="39">
        <v>1.0</v>
      </c>
    </row>
    <row r="20">
      <c r="A20" s="39" t="s">
        <v>2868</v>
      </c>
      <c r="B20" s="39" t="s">
        <v>2765</v>
      </c>
      <c r="C20" s="39" t="s">
        <v>2766</v>
      </c>
      <c r="D20" s="39" t="s">
        <v>2847</v>
      </c>
      <c r="E20" s="39" t="s">
        <v>2359</v>
      </c>
      <c r="F20" s="39" t="s">
        <v>397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1.0</v>
      </c>
      <c r="W20" s="39">
        <v>0.0</v>
      </c>
      <c r="X20" s="39">
        <v>0.0</v>
      </c>
      <c r="Y20" s="39">
        <v>0.0</v>
      </c>
      <c r="AE20" s="39">
        <v>1.0</v>
      </c>
    </row>
    <row r="21">
      <c r="A21" s="39" t="s">
        <v>2869</v>
      </c>
      <c r="B21" s="39" t="s">
        <v>2750</v>
      </c>
      <c r="C21" s="39" t="s">
        <v>2751</v>
      </c>
      <c r="D21" s="39" t="s">
        <v>2847</v>
      </c>
      <c r="E21" s="39" t="s">
        <v>2359</v>
      </c>
      <c r="F21" s="39" t="s">
        <v>397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E21" s="39">
        <v>1.0</v>
      </c>
    </row>
    <row r="22">
      <c r="A22" s="39" t="s">
        <v>2870</v>
      </c>
      <c r="B22" s="39" t="s">
        <v>2871</v>
      </c>
      <c r="C22" s="39" t="s">
        <v>2751</v>
      </c>
      <c r="D22" s="39" t="s">
        <v>2847</v>
      </c>
      <c r="E22" s="39" t="s">
        <v>2359</v>
      </c>
      <c r="F22" s="39" t="s">
        <v>397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1.0</v>
      </c>
      <c r="W22" s="39">
        <v>0.0</v>
      </c>
      <c r="X22" s="39">
        <v>0.0</v>
      </c>
      <c r="Y22" s="39">
        <v>0.0</v>
      </c>
      <c r="AE22" s="39">
        <v>1.0</v>
      </c>
    </row>
    <row r="23">
      <c r="A23" s="39" t="s">
        <v>2872</v>
      </c>
      <c r="B23" s="39" t="s">
        <v>2750</v>
      </c>
      <c r="C23" s="39" t="s">
        <v>2751</v>
      </c>
      <c r="D23" s="39" t="s">
        <v>2847</v>
      </c>
      <c r="E23" s="39" t="s">
        <v>2359</v>
      </c>
      <c r="F23" s="39" t="s">
        <v>397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1.0</v>
      </c>
      <c r="W23" s="39">
        <v>0.0</v>
      </c>
      <c r="X23" s="39">
        <v>0.0</v>
      </c>
      <c r="Y23" s="39">
        <v>0.0</v>
      </c>
      <c r="AE23" s="39">
        <v>1.0</v>
      </c>
    </row>
    <row r="24">
      <c r="A24" s="39" t="s">
        <v>2873</v>
      </c>
      <c r="B24" s="39" t="s">
        <v>2874</v>
      </c>
      <c r="C24" s="39" t="s">
        <v>1973</v>
      </c>
      <c r="D24" s="39" t="s">
        <v>2847</v>
      </c>
      <c r="E24" s="39" t="s">
        <v>2359</v>
      </c>
      <c r="F24" s="39" t="s">
        <v>397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1.0</v>
      </c>
      <c r="W24" s="39">
        <v>0.0</v>
      </c>
      <c r="X24" s="39">
        <v>3.0</v>
      </c>
      <c r="Y24" s="39">
        <v>0.0</v>
      </c>
      <c r="Z24" s="30" t="s">
        <v>2875</v>
      </c>
      <c r="AA24" s="30" t="s">
        <v>83</v>
      </c>
      <c r="AE24" s="39">
        <v>1.0</v>
      </c>
    </row>
    <row r="25">
      <c r="A25" s="39" t="s">
        <v>2876</v>
      </c>
      <c r="B25" s="39" t="s">
        <v>2874</v>
      </c>
      <c r="C25" s="39" t="s">
        <v>1973</v>
      </c>
      <c r="D25" s="39" t="s">
        <v>2847</v>
      </c>
      <c r="E25" s="39" t="s">
        <v>2359</v>
      </c>
      <c r="F25" s="39" t="s">
        <v>397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1.0</v>
      </c>
      <c r="W25" s="39">
        <v>0.0</v>
      </c>
      <c r="X25" s="39">
        <v>1.0</v>
      </c>
      <c r="Y25" s="39">
        <v>0.0</v>
      </c>
      <c r="Z25" s="30" t="s">
        <v>2877</v>
      </c>
      <c r="AA25" s="30" t="s">
        <v>115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2878</v>
      </c>
      <c r="B2" s="39" t="s">
        <v>2879</v>
      </c>
      <c r="C2" s="39" t="s">
        <v>397</v>
      </c>
      <c r="D2" s="39" t="s">
        <v>2880</v>
      </c>
      <c r="E2" s="39" t="s">
        <v>2881</v>
      </c>
      <c r="H2" s="39">
        <v>25.0</v>
      </c>
      <c r="M2" s="39" t="s">
        <v>2882</v>
      </c>
      <c r="O2" s="39" t="s">
        <v>2859</v>
      </c>
    </row>
    <row r="3">
      <c r="A3" s="39" t="s">
        <v>2878</v>
      </c>
      <c r="B3" s="39" t="s">
        <v>2879</v>
      </c>
      <c r="C3" s="39" t="s">
        <v>397</v>
      </c>
      <c r="D3" s="39" t="s">
        <v>2883</v>
      </c>
      <c r="E3" s="39" t="s">
        <v>2884</v>
      </c>
      <c r="H3" s="39">
        <v>30.0</v>
      </c>
      <c r="M3" s="39" t="s">
        <v>2885</v>
      </c>
      <c r="O3" s="39" t="s">
        <v>2864</v>
      </c>
    </row>
    <row r="4">
      <c r="A4" s="39" t="s">
        <v>2878</v>
      </c>
      <c r="B4" s="39" t="s">
        <v>2879</v>
      </c>
      <c r="C4" s="39" t="s">
        <v>397</v>
      </c>
      <c r="D4" s="39" t="s">
        <v>2886</v>
      </c>
      <c r="E4" s="39" t="s">
        <v>2887</v>
      </c>
      <c r="H4" s="39">
        <v>30.0</v>
      </c>
      <c r="M4" s="39" t="s">
        <v>2888</v>
      </c>
      <c r="O4" s="39" t="s">
        <v>2866</v>
      </c>
    </row>
    <row r="5">
      <c r="A5" s="39" t="s">
        <v>2878</v>
      </c>
      <c r="B5" s="39" t="s">
        <v>2879</v>
      </c>
      <c r="C5" s="39" t="s">
        <v>397</v>
      </c>
      <c r="D5" s="39" t="s">
        <v>2889</v>
      </c>
      <c r="E5" s="39" t="s">
        <v>2890</v>
      </c>
      <c r="H5" s="39">
        <v>30.0</v>
      </c>
      <c r="M5" s="39" t="s">
        <v>2888</v>
      </c>
      <c r="O5" s="39" t="s">
        <v>2868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2846</v>
      </c>
      <c r="B2" s="39" t="s">
        <v>2791</v>
      </c>
      <c r="C2" s="39" t="s">
        <v>2792</v>
      </c>
      <c r="D2" s="39" t="s">
        <v>2847</v>
      </c>
      <c r="E2" s="39" t="s">
        <v>1684</v>
      </c>
      <c r="F2" s="39" t="s">
        <v>397</v>
      </c>
      <c r="G2" s="39" t="s">
        <v>657</v>
      </c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V2" s="39">
        <v>1.0</v>
      </c>
      <c r="W2" s="39">
        <v>1.0</v>
      </c>
      <c r="X2" s="39">
        <v>1.0</v>
      </c>
      <c r="Y2" s="39">
        <v>0.0</v>
      </c>
      <c r="Z2" s="30" t="s">
        <v>2848</v>
      </c>
      <c r="AA2" s="30" t="s">
        <v>115</v>
      </c>
      <c r="AE2" s="39">
        <v>1.0</v>
      </c>
    </row>
    <row r="3">
      <c r="A3" s="39" t="s">
        <v>2849</v>
      </c>
      <c r="B3" s="39" t="s">
        <v>2791</v>
      </c>
      <c r="C3" s="39" t="s">
        <v>2792</v>
      </c>
      <c r="D3" s="39" t="s">
        <v>2847</v>
      </c>
      <c r="E3" s="39" t="s">
        <v>1684</v>
      </c>
      <c r="F3" s="39" t="s">
        <v>397</v>
      </c>
      <c r="G3" s="39" t="s">
        <v>2850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1.0</v>
      </c>
      <c r="X3" s="39">
        <v>1.0</v>
      </c>
      <c r="Y3" s="39">
        <v>0.0</v>
      </c>
      <c r="Z3" s="30" t="s">
        <v>2848</v>
      </c>
      <c r="AA3" s="30" t="s">
        <v>115</v>
      </c>
      <c r="AE3" s="39">
        <v>1.0</v>
      </c>
    </row>
    <row r="4">
      <c r="A4" s="39" t="s">
        <v>2851</v>
      </c>
      <c r="B4" s="39" t="s">
        <v>2791</v>
      </c>
      <c r="C4" s="39" t="s">
        <v>2792</v>
      </c>
      <c r="D4" s="39" t="s">
        <v>2847</v>
      </c>
      <c r="E4" s="39" t="s">
        <v>1684</v>
      </c>
      <c r="F4" s="39" t="s">
        <v>397</v>
      </c>
      <c r="G4" s="39" t="s">
        <v>662</v>
      </c>
      <c r="I4" s="40">
        <v>127.53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1.0</v>
      </c>
      <c r="Y4" s="39">
        <v>0.0</v>
      </c>
      <c r="Z4" s="30" t="s">
        <v>2848</v>
      </c>
      <c r="AA4" s="30" t="s">
        <v>115</v>
      </c>
      <c r="AE4" s="39">
        <v>1.0</v>
      </c>
    </row>
    <row r="5">
      <c r="A5" s="39" t="s">
        <v>2852</v>
      </c>
      <c r="B5" s="39" t="s">
        <v>2791</v>
      </c>
      <c r="C5" s="39" t="s">
        <v>2792</v>
      </c>
      <c r="D5" s="39" t="s">
        <v>2847</v>
      </c>
      <c r="E5" s="39" t="s">
        <v>1684</v>
      </c>
      <c r="F5" s="39" t="s">
        <v>397</v>
      </c>
      <c r="G5" s="39" t="s">
        <v>65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1.0</v>
      </c>
      <c r="W5" s="39">
        <v>1.0</v>
      </c>
      <c r="X5" s="39">
        <v>0.0</v>
      </c>
      <c r="Y5" s="39">
        <v>1.0</v>
      </c>
      <c r="Z5" s="30" t="s">
        <v>2853</v>
      </c>
      <c r="AA5" s="30" t="s">
        <v>97</v>
      </c>
      <c r="AE5" s="39">
        <v>1.0</v>
      </c>
    </row>
    <row r="6">
      <c r="A6" s="39" t="s">
        <v>2854</v>
      </c>
      <c r="B6" s="39" t="s">
        <v>2791</v>
      </c>
      <c r="C6" s="39" t="s">
        <v>2792</v>
      </c>
      <c r="D6" s="39" t="s">
        <v>2847</v>
      </c>
      <c r="E6" s="39" t="s">
        <v>1684</v>
      </c>
      <c r="F6" s="39" t="s">
        <v>397</v>
      </c>
      <c r="G6" s="39" t="s">
        <v>72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1.0</v>
      </c>
      <c r="W6" s="39">
        <v>1.0</v>
      </c>
      <c r="X6" s="39">
        <v>0.0</v>
      </c>
      <c r="Y6" s="39">
        <v>0.0</v>
      </c>
      <c r="AE6" s="39">
        <v>1.0</v>
      </c>
    </row>
    <row r="7">
      <c r="A7" s="39" t="s">
        <v>2855</v>
      </c>
      <c r="B7" s="39" t="s">
        <v>2791</v>
      </c>
      <c r="C7" s="39" t="s">
        <v>2792</v>
      </c>
      <c r="D7" s="39" t="s">
        <v>2847</v>
      </c>
      <c r="E7" s="39" t="s">
        <v>1684</v>
      </c>
      <c r="F7" s="39" t="s">
        <v>397</v>
      </c>
      <c r="G7" s="39" t="s">
        <v>2856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1.0</v>
      </c>
      <c r="W7" s="39">
        <v>1.0</v>
      </c>
      <c r="X7" s="39">
        <v>0.0</v>
      </c>
      <c r="Y7" s="39">
        <v>0.0</v>
      </c>
      <c r="AE7" s="39">
        <v>1.0</v>
      </c>
    </row>
    <row r="8">
      <c r="A8" s="39" t="s">
        <v>2857</v>
      </c>
      <c r="B8" s="39" t="s">
        <v>2791</v>
      </c>
      <c r="C8" s="39" t="s">
        <v>2792</v>
      </c>
      <c r="D8" s="39" t="s">
        <v>2847</v>
      </c>
      <c r="E8" s="39" t="s">
        <v>1684</v>
      </c>
      <c r="F8" s="39" t="s">
        <v>397</v>
      </c>
      <c r="G8" s="39" t="s">
        <v>2858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1.0</v>
      </c>
      <c r="W8" s="39">
        <v>1.0</v>
      </c>
      <c r="X8" s="39">
        <v>0.0</v>
      </c>
      <c r="Y8" s="39">
        <v>0.0</v>
      </c>
      <c r="AE8" s="39">
        <v>1.0</v>
      </c>
    </row>
    <row r="9">
      <c r="A9" s="39" t="s">
        <v>2891</v>
      </c>
      <c r="B9" s="39" t="s">
        <v>2791</v>
      </c>
      <c r="C9" s="39" t="s">
        <v>2792</v>
      </c>
      <c r="D9" s="39" t="s">
        <v>2847</v>
      </c>
      <c r="E9" s="39" t="s">
        <v>1684</v>
      </c>
      <c r="F9" s="39" t="s">
        <v>397</v>
      </c>
      <c r="G9" s="39" t="s">
        <v>2892</v>
      </c>
      <c r="H9" s="39" t="s">
        <v>2892</v>
      </c>
      <c r="I9" s="40">
        <v>126.96000000000001</v>
      </c>
      <c r="N9" s="39" t="s">
        <v>81</v>
      </c>
      <c r="O9" s="39" t="s">
        <v>68</v>
      </c>
      <c r="Q9" s="39">
        <v>1.0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E9" s="39">
        <v>1.0</v>
      </c>
    </row>
    <row r="10">
      <c r="A10" s="39" t="s">
        <v>2542</v>
      </c>
      <c r="B10" s="39" t="s">
        <v>2781</v>
      </c>
      <c r="C10" s="39" t="s">
        <v>2782</v>
      </c>
      <c r="D10" s="39" t="s">
        <v>2847</v>
      </c>
      <c r="E10" s="39" t="s">
        <v>1684</v>
      </c>
      <c r="F10" s="39" t="s">
        <v>397</v>
      </c>
      <c r="G10" s="39" t="s">
        <v>2893</v>
      </c>
      <c r="H10" s="39" t="s">
        <v>2893</v>
      </c>
      <c r="I10" s="40">
        <v>126.12</v>
      </c>
      <c r="L10" s="39" t="s">
        <v>2126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E10" s="39">
        <v>1.0</v>
      </c>
    </row>
    <row r="11">
      <c r="A11" s="39" t="s">
        <v>2861</v>
      </c>
      <c r="B11" s="39" t="s">
        <v>2781</v>
      </c>
      <c r="C11" s="39" t="s">
        <v>2782</v>
      </c>
      <c r="D11" s="39" t="s">
        <v>2847</v>
      </c>
      <c r="E11" s="39" t="s">
        <v>1684</v>
      </c>
      <c r="F11" s="39" t="s">
        <v>397</v>
      </c>
      <c r="G11" s="39" t="s">
        <v>2894</v>
      </c>
      <c r="H11" s="39" t="s">
        <v>2894</v>
      </c>
      <c r="I11" s="40">
        <v>125.13000000000001</v>
      </c>
      <c r="L11" s="39" t="s">
        <v>1716</v>
      </c>
      <c r="N11" s="39" t="s">
        <v>119</v>
      </c>
      <c r="O11" s="39" t="s">
        <v>68</v>
      </c>
      <c r="Q11" s="39">
        <v>0.0</v>
      </c>
      <c r="R11" s="39">
        <v>1.0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E11" s="39">
        <v>1.0</v>
      </c>
    </row>
    <row r="12">
      <c r="A12" s="39" t="s">
        <v>2895</v>
      </c>
      <c r="B12" s="39" t="s">
        <v>2781</v>
      </c>
      <c r="C12" s="39" t="s">
        <v>2782</v>
      </c>
      <c r="D12" s="39" t="s">
        <v>2847</v>
      </c>
      <c r="E12" s="39" t="s">
        <v>1684</v>
      </c>
      <c r="F12" s="39" t="s">
        <v>397</v>
      </c>
      <c r="G12" s="39" t="s">
        <v>65</v>
      </c>
      <c r="I12" s="40">
        <v>123.76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1.0</v>
      </c>
      <c r="W12" s="39">
        <v>0.0</v>
      </c>
      <c r="X12" s="39">
        <v>0.0</v>
      </c>
      <c r="Y12" s="39">
        <v>1.0</v>
      </c>
      <c r="Z12" s="30" t="s">
        <v>2853</v>
      </c>
      <c r="AA12" s="30" t="s">
        <v>97</v>
      </c>
      <c r="AE12" s="39">
        <v>1.0</v>
      </c>
    </row>
    <row r="13">
      <c r="A13" s="39" t="s">
        <v>2896</v>
      </c>
      <c r="B13" s="39" t="s">
        <v>2781</v>
      </c>
      <c r="C13" s="39" t="s">
        <v>2782</v>
      </c>
      <c r="D13" s="39" t="s">
        <v>2847</v>
      </c>
      <c r="E13" s="39" t="s">
        <v>1684</v>
      </c>
      <c r="F13" s="39" t="s">
        <v>397</v>
      </c>
      <c r="G13" s="39" t="s">
        <v>2897</v>
      </c>
      <c r="H13" s="39" t="s">
        <v>2897</v>
      </c>
      <c r="I13" s="40">
        <v>123.49000000000001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E13" s="39">
        <v>1.0</v>
      </c>
    </row>
    <row r="14">
      <c r="A14" s="39" t="s">
        <v>2772</v>
      </c>
      <c r="B14" s="39" t="s">
        <v>2773</v>
      </c>
      <c r="C14" s="39" t="s">
        <v>2774</v>
      </c>
      <c r="D14" s="39" t="s">
        <v>2847</v>
      </c>
      <c r="E14" s="39" t="s">
        <v>1684</v>
      </c>
      <c r="F14" s="39" t="s">
        <v>397</v>
      </c>
      <c r="G14" s="39" t="s">
        <v>2898</v>
      </c>
      <c r="H14" s="39" t="s">
        <v>2898</v>
      </c>
      <c r="I14" s="40">
        <v>120.27000000000001</v>
      </c>
      <c r="L14" s="39" t="s">
        <v>2126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E14" s="39">
        <v>1.0</v>
      </c>
    </row>
    <row r="15">
      <c r="A15" s="39" t="s">
        <v>2899</v>
      </c>
      <c r="B15" s="39" t="s">
        <v>2773</v>
      </c>
      <c r="C15" s="39" t="s">
        <v>2774</v>
      </c>
      <c r="D15" s="39" t="s">
        <v>2847</v>
      </c>
      <c r="E15" s="39" t="s">
        <v>1684</v>
      </c>
      <c r="F15" s="39" t="s">
        <v>397</v>
      </c>
      <c r="G15" s="39" t="s">
        <v>2900</v>
      </c>
      <c r="H15" s="39" t="s">
        <v>2900</v>
      </c>
      <c r="I15" s="40">
        <v>119.28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1.0</v>
      </c>
      <c r="W15" s="39">
        <v>0.0</v>
      </c>
      <c r="X15" s="39">
        <v>0.0</v>
      </c>
      <c r="Y15" s="39">
        <v>1.0</v>
      </c>
      <c r="Z15" s="30" t="s">
        <v>2853</v>
      </c>
      <c r="AA15" s="30" t="s">
        <v>97</v>
      </c>
      <c r="AE15" s="39">
        <v>1.0</v>
      </c>
    </row>
    <row r="16">
      <c r="A16" s="39" t="s">
        <v>2901</v>
      </c>
      <c r="B16" s="39" t="s">
        <v>2773</v>
      </c>
      <c r="C16" s="39" t="s">
        <v>2774</v>
      </c>
      <c r="D16" s="39" t="s">
        <v>2847</v>
      </c>
      <c r="E16" s="39" t="s">
        <v>1684</v>
      </c>
      <c r="F16" s="39" t="s">
        <v>397</v>
      </c>
      <c r="G16" s="39" t="s">
        <v>2902</v>
      </c>
      <c r="H16" s="39" t="s">
        <v>2902</v>
      </c>
      <c r="I16" s="40">
        <v>118.84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E16" s="39">
        <v>1.0</v>
      </c>
    </row>
    <row r="17">
      <c r="A17" s="39" t="s">
        <v>2903</v>
      </c>
      <c r="B17" s="39" t="s">
        <v>2904</v>
      </c>
      <c r="C17" s="39" t="s">
        <v>2905</v>
      </c>
      <c r="D17" s="39" t="s">
        <v>2847</v>
      </c>
      <c r="E17" s="39" t="s">
        <v>1684</v>
      </c>
      <c r="F17" s="39" t="s">
        <v>397</v>
      </c>
      <c r="G17" s="39" t="s">
        <v>2906</v>
      </c>
      <c r="H17" s="39" t="s">
        <v>2906</v>
      </c>
      <c r="I17" s="40">
        <v>114.03</v>
      </c>
      <c r="L17" s="39" t="s">
        <v>2126</v>
      </c>
      <c r="N17" s="39" t="s">
        <v>81</v>
      </c>
      <c r="O17" s="39" t="s">
        <v>68</v>
      </c>
      <c r="Q17" s="39">
        <v>1.0</v>
      </c>
      <c r="R17" s="39">
        <v>0.0</v>
      </c>
      <c r="S17" s="39">
        <v>0.0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E17" s="39">
        <v>1.0</v>
      </c>
    </row>
    <row r="18">
      <c r="A18" s="39" t="s">
        <v>2907</v>
      </c>
      <c r="B18" s="39" t="s">
        <v>2904</v>
      </c>
      <c r="C18" s="39" t="s">
        <v>2905</v>
      </c>
      <c r="D18" s="39" t="s">
        <v>2847</v>
      </c>
      <c r="E18" s="39" t="s">
        <v>1684</v>
      </c>
      <c r="F18" s="39" t="s">
        <v>397</v>
      </c>
      <c r="G18" s="39" t="s">
        <v>2908</v>
      </c>
      <c r="H18" s="39" t="s">
        <v>2908</v>
      </c>
      <c r="I18" s="40">
        <v>113.14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E18" s="39">
        <v>1.0</v>
      </c>
    </row>
    <row r="19">
      <c r="A19" s="39" t="s">
        <v>2869</v>
      </c>
      <c r="B19" s="39" t="s">
        <v>2750</v>
      </c>
      <c r="C19" s="39" t="s">
        <v>2751</v>
      </c>
      <c r="D19" s="39" t="s">
        <v>2847</v>
      </c>
      <c r="E19" s="39" t="s">
        <v>1684</v>
      </c>
      <c r="F19" s="39" t="s">
        <v>397</v>
      </c>
      <c r="G19" s="39" t="s">
        <v>2909</v>
      </c>
      <c r="H19" s="39" t="s">
        <v>2909</v>
      </c>
      <c r="I19" s="40">
        <v>103.61000000000001</v>
      </c>
      <c r="L19" s="39" t="s">
        <v>2126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E19" s="39">
        <v>1.0</v>
      </c>
    </row>
    <row r="20">
      <c r="A20" s="39" t="s">
        <v>2910</v>
      </c>
      <c r="B20" s="39" t="s">
        <v>2750</v>
      </c>
      <c r="C20" s="39" t="s">
        <v>2751</v>
      </c>
      <c r="D20" s="39" t="s">
        <v>2847</v>
      </c>
      <c r="E20" s="39" t="s">
        <v>1684</v>
      </c>
      <c r="F20" s="39" t="s">
        <v>397</v>
      </c>
      <c r="G20" s="39" t="s">
        <v>2911</v>
      </c>
      <c r="H20" s="39" t="s">
        <v>2911</v>
      </c>
      <c r="I20" s="40">
        <v>102.63000000000001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1.0</v>
      </c>
      <c r="W20" s="39">
        <v>0.0</v>
      </c>
      <c r="X20" s="39">
        <v>0.0</v>
      </c>
      <c r="Y20" s="39">
        <v>1.0</v>
      </c>
      <c r="Z20" s="30" t="s">
        <v>2853</v>
      </c>
      <c r="AA20" s="30" t="s">
        <v>97</v>
      </c>
      <c r="AE20" s="39">
        <v>1.0</v>
      </c>
    </row>
    <row r="21">
      <c r="A21" s="39" t="s">
        <v>2912</v>
      </c>
      <c r="B21" s="39" t="s">
        <v>2750</v>
      </c>
      <c r="C21" s="39" t="s">
        <v>2751</v>
      </c>
      <c r="D21" s="39" t="s">
        <v>2847</v>
      </c>
      <c r="E21" s="39" t="s">
        <v>1684</v>
      </c>
      <c r="F21" s="39" t="s">
        <v>397</v>
      </c>
      <c r="G21" s="39" t="s">
        <v>65</v>
      </c>
      <c r="I21" s="40">
        <v>101.77000000000001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1.0</v>
      </c>
      <c r="W21" s="39">
        <v>0.0</v>
      </c>
      <c r="X21" s="39">
        <v>0.0</v>
      </c>
      <c r="Y21" s="39">
        <v>0.0</v>
      </c>
      <c r="AE21" s="39">
        <v>1.0</v>
      </c>
    </row>
    <row r="22">
      <c r="A22" s="39" t="s">
        <v>2913</v>
      </c>
      <c r="B22" s="39" t="s">
        <v>2874</v>
      </c>
      <c r="C22" s="39" t="s">
        <v>1973</v>
      </c>
      <c r="D22" s="39" t="s">
        <v>2847</v>
      </c>
      <c r="E22" s="39" t="s">
        <v>1684</v>
      </c>
      <c r="F22" s="39" t="s">
        <v>397</v>
      </c>
      <c r="I22" s="40">
        <v>101.36000000000001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1.0</v>
      </c>
      <c r="W22" s="39">
        <v>0.0</v>
      </c>
      <c r="X22" s="39">
        <v>2.0</v>
      </c>
      <c r="Y22" s="39">
        <v>1.0</v>
      </c>
      <c r="Z22" s="30" t="s">
        <v>2914</v>
      </c>
      <c r="AA22" s="30" t="s">
        <v>1703</v>
      </c>
      <c r="AE22" s="39">
        <v>1.0</v>
      </c>
    </row>
    <row r="23">
      <c r="A23" s="39" t="s">
        <v>2915</v>
      </c>
      <c r="B23" s="39" t="s">
        <v>2874</v>
      </c>
      <c r="C23" s="39" t="s">
        <v>1973</v>
      </c>
      <c r="D23" s="39" t="s">
        <v>2847</v>
      </c>
      <c r="E23" s="39" t="s">
        <v>1684</v>
      </c>
      <c r="F23" s="39" t="s">
        <v>397</v>
      </c>
      <c r="I23" s="40">
        <v>100.638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1.0</v>
      </c>
      <c r="W23" s="39">
        <v>0.0</v>
      </c>
      <c r="X23" s="39">
        <v>2.0</v>
      </c>
      <c r="Y23" s="39">
        <v>0.0</v>
      </c>
      <c r="Z23" s="30" t="s">
        <v>2916</v>
      </c>
      <c r="AA23" s="30" t="s">
        <v>2917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39" t="s">
        <v>377</v>
      </c>
      <c r="B1" s="39" t="s">
        <v>378</v>
      </c>
    </row>
    <row r="2">
      <c r="A2" s="39" t="s">
        <v>2815</v>
      </c>
    </row>
    <row r="3">
      <c r="A3" s="39" t="s">
        <v>2814</v>
      </c>
    </row>
    <row r="4">
      <c r="A4" s="39" t="s">
        <v>2813</v>
      </c>
    </row>
    <row r="5">
      <c r="A5" s="39" t="s">
        <v>2812</v>
      </c>
    </row>
    <row r="6">
      <c r="A6" s="39" t="s">
        <v>2810</v>
      </c>
    </row>
    <row r="7">
      <c r="A7" s="39" t="s">
        <v>2809</v>
      </c>
    </row>
    <row r="8">
      <c r="A8" s="39" t="s">
        <v>2808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2847</v>
      </c>
      <c r="B2" s="39" t="s">
        <v>15</v>
      </c>
      <c r="C2" s="39" t="s">
        <v>397</v>
      </c>
      <c r="D2" s="39" t="s">
        <v>2918</v>
      </c>
      <c r="E2" s="39" t="s">
        <v>2919</v>
      </c>
      <c r="H2" s="39">
        <v>20.0</v>
      </c>
      <c r="M2" s="39" t="s">
        <v>2920</v>
      </c>
      <c r="O2" s="39" t="s">
        <v>2854</v>
      </c>
    </row>
    <row r="3">
      <c r="A3" s="39" t="s">
        <v>2847</v>
      </c>
      <c r="B3" s="39" t="s">
        <v>15</v>
      </c>
      <c r="C3" s="39" t="s">
        <v>397</v>
      </c>
      <c r="D3" s="39" t="s">
        <v>2921</v>
      </c>
      <c r="E3" s="39" t="s">
        <v>2922</v>
      </c>
      <c r="H3" s="39">
        <v>30.0</v>
      </c>
      <c r="M3" s="39" t="s">
        <v>2923</v>
      </c>
      <c r="O3" s="39" t="s">
        <v>2896</v>
      </c>
    </row>
    <row r="4">
      <c r="A4" s="39" t="s">
        <v>2847</v>
      </c>
      <c r="B4" s="39" t="s">
        <v>15</v>
      </c>
      <c r="C4" s="39" t="s">
        <v>397</v>
      </c>
      <c r="D4" s="39" t="s">
        <v>2488</v>
      </c>
      <c r="E4" s="39" t="s">
        <v>2488</v>
      </c>
      <c r="H4" s="39">
        <v>25.0</v>
      </c>
      <c r="M4" s="39" t="s">
        <v>2924</v>
      </c>
      <c r="O4" s="39" t="s">
        <v>2899</v>
      </c>
    </row>
    <row r="5">
      <c r="A5" s="39" t="s">
        <v>2847</v>
      </c>
      <c r="B5" s="39" t="s">
        <v>15</v>
      </c>
      <c r="C5" s="39" t="s">
        <v>397</v>
      </c>
      <c r="D5" s="39" t="s">
        <v>2925</v>
      </c>
      <c r="E5" s="39" t="s">
        <v>2926</v>
      </c>
      <c r="H5" s="39">
        <v>30.0</v>
      </c>
      <c r="M5" s="39" t="s">
        <v>2927</v>
      </c>
      <c r="O5" s="39" t="s">
        <v>2901</v>
      </c>
    </row>
    <row r="6">
      <c r="A6" s="39" t="s">
        <v>2847</v>
      </c>
      <c r="B6" s="39" t="s">
        <v>15</v>
      </c>
      <c r="C6" s="39" t="s">
        <v>397</v>
      </c>
      <c r="D6" s="39" t="s">
        <v>2928</v>
      </c>
      <c r="E6" s="39" t="s">
        <v>2929</v>
      </c>
      <c r="H6" s="39">
        <v>30.0</v>
      </c>
      <c r="M6" s="39" t="s">
        <v>2930</v>
      </c>
      <c r="O6" s="39" t="s">
        <v>2931</v>
      </c>
    </row>
    <row r="7">
      <c r="A7" s="39" t="s">
        <v>2847</v>
      </c>
      <c r="B7" s="39" t="s">
        <v>15</v>
      </c>
      <c r="C7" s="39" t="s">
        <v>397</v>
      </c>
      <c r="D7" s="39" t="s">
        <v>2932</v>
      </c>
      <c r="E7" s="39" t="s">
        <v>2933</v>
      </c>
      <c r="H7" s="39">
        <v>80.0</v>
      </c>
      <c r="M7" s="39" t="s">
        <v>2934</v>
      </c>
      <c r="O7" s="39" t="s">
        <v>2913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76" t="s">
        <v>2935</v>
      </c>
      <c r="B2" s="39" t="s">
        <v>559</v>
      </c>
      <c r="C2" s="39" t="s">
        <v>2936</v>
      </c>
      <c r="D2" s="39" t="s">
        <v>2937</v>
      </c>
      <c r="E2" s="39" t="s">
        <v>2938</v>
      </c>
      <c r="F2" s="39" t="s">
        <v>64</v>
      </c>
      <c r="G2" s="39" t="s">
        <v>2939</v>
      </c>
      <c r="H2" s="39" t="s">
        <v>2939</v>
      </c>
      <c r="L2" s="39" t="s">
        <v>2940</v>
      </c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U2" s="39">
        <v>0.0</v>
      </c>
      <c r="X2" s="39">
        <v>0.0</v>
      </c>
      <c r="Y2" s="39">
        <v>0.0</v>
      </c>
      <c r="AE2" s="39">
        <v>1.0</v>
      </c>
    </row>
    <row r="3">
      <c r="A3" s="76" t="s">
        <v>2941</v>
      </c>
      <c r="B3" s="39" t="s">
        <v>559</v>
      </c>
      <c r="C3" s="39" t="s">
        <v>2936</v>
      </c>
      <c r="D3" s="39" t="s">
        <v>2937</v>
      </c>
      <c r="E3" s="39" t="s">
        <v>2938</v>
      </c>
      <c r="F3" s="39" t="s">
        <v>64</v>
      </c>
      <c r="G3" s="39" t="s">
        <v>2942</v>
      </c>
      <c r="L3" s="39" t="s">
        <v>2940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X3" s="39">
        <v>1.0</v>
      </c>
      <c r="Y3" s="39">
        <v>0.0</v>
      </c>
      <c r="Z3" s="30" t="s">
        <v>827</v>
      </c>
      <c r="AA3" s="30" t="s">
        <v>115</v>
      </c>
      <c r="AE3" s="39">
        <v>1.0</v>
      </c>
    </row>
    <row r="4">
      <c r="A4" s="76" t="s">
        <v>2943</v>
      </c>
      <c r="B4" s="39" t="s">
        <v>559</v>
      </c>
      <c r="C4" s="39" t="s">
        <v>2936</v>
      </c>
      <c r="D4" s="39" t="s">
        <v>2937</v>
      </c>
      <c r="E4" s="39" t="s">
        <v>2938</v>
      </c>
      <c r="F4" s="39" t="s">
        <v>64</v>
      </c>
      <c r="G4" s="39" t="s">
        <v>2944</v>
      </c>
      <c r="L4" s="39" t="s">
        <v>2940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X4" s="39">
        <v>1.0</v>
      </c>
      <c r="Y4" s="39">
        <v>0.0</v>
      </c>
      <c r="Z4" s="30" t="s">
        <v>827</v>
      </c>
      <c r="AA4" s="30" t="s">
        <v>115</v>
      </c>
      <c r="AE4" s="39">
        <v>1.0</v>
      </c>
    </row>
    <row r="5">
      <c r="A5" s="76" t="s">
        <v>2945</v>
      </c>
      <c r="B5" s="39" t="s">
        <v>559</v>
      </c>
      <c r="C5" s="39" t="s">
        <v>2936</v>
      </c>
      <c r="D5" s="39" t="s">
        <v>2937</v>
      </c>
      <c r="E5" s="39" t="s">
        <v>2938</v>
      </c>
      <c r="F5" s="39" t="s">
        <v>64</v>
      </c>
      <c r="G5" s="39" t="s">
        <v>2946</v>
      </c>
      <c r="L5" s="39" t="s">
        <v>2940</v>
      </c>
      <c r="N5" s="39" t="s">
        <v>81</v>
      </c>
      <c r="O5" s="39" t="s">
        <v>68</v>
      </c>
      <c r="Q5" s="39">
        <v>1.0</v>
      </c>
      <c r="R5" s="39">
        <v>0.0</v>
      </c>
      <c r="S5" s="39">
        <v>0.0</v>
      </c>
      <c r="T5" s="39">
        <v>0.0</v>
      </c>
      <c r="U5" s="39">
        <v>0.0</v>
      </c>
      <c r="X5" s="39">
        <v>0.0</v>
      </c>
      <c r="Y5" s="39">
        <v>1.0</v>
      </c>
      <c r="Z5" s="30" t="s">
        <v>2947</v>
      </c>
      <c r="AA5" s="30" t="s">
        <v>97</v>
      </c>
      <c r="AE5" s="39">
        <v>1.0</v>
      </c>
    </row>
    <row r="6">
      <c r="A6" s="76" t="s">
        <v>2948</v>
      </c>
      <c r="B6" s="39" t="s">
        <v>559</v>
      </c>
      <c r="C6" s="39" t="s">
        <v>2936</v>
      </c>
      <c r="D6" s="39" t="s">
        <v>2937</v>
      </c>
      <c r="E6" s="39" t="s">
        <v>2938</v>
      </c>
      <c r="F6" s="39" t="s">
        <v>64</v>
      </c>
      <c r="G6" s="39" t="s">
        <v>2949</v>
      </c>
      <c r="L6" s="39" t="s">
        <v>2940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X6" s="39">
        <v>0.0</v>
      </c>
      <c r="Y6" s="39">
        <v>1.0</v>
      </c>
      <c r="Z6" s="30" t="s">
        <v>2947</v>
      </c>
      <c r="AA6" s="30" t="s">
        <v>97</v>
      </c>
      <c r="AE6" s="39">
        <v>1.0</v>
      </c>
    </row>
    <row r="7">
      <c r="A7" s="76" t="s">
        <v>2950</v>
      </c>
      <c r="B7" s="39" t="s">
        <v>559</v>
      </c>
      <c r="C7" s="39" t="s">
        <v>2936</v>
      </c>
      <c r="D7" s="39" t="s">
        <v>2937</v>
      </c>
      <c r="E7" s="39" t="s">
        <v>2938</v>
      </c>
      <c r="F7" s="39" t="s">
        <v>64</v>
      </c>
      <c r="G7" s="39" t="s">
        <v>2951</v>
      </c>
      <c r="L7" s="39" t="s">
        <v>2940</v>
      </c>
      <c r="N7" s="39" t="s">
        <v>81</v>
      </c>
      <c r="O7" s="39" t="s">
        <v>68</v>
      </c>
      <c r="Q7" s="39">
        <v>1.0</v>
      </c>
      <c r="R7" s="39">
        <v>0.0</v>
      </c>
      <c r="S7" s="39">
        <v>0.0</v>
      </c>
      <c r="T7" s="39">
        <v>0.0</v>
      </c>
      <c r="U7" s="39">
        <v>0.0</v>
      </c>
      <c r="X7" s="39">
        <v>0.0</v>
      </c>
      <c r="Y7" s="39">
        <v>1.0</v>
      </c>
      <c r="Z7" s="30" t="s">
        <v>2947</v>
      </c>
      <c r="AA7" s="30" t="s">
        <v>97</v>
      </c>
      <c r="AE7" s="39">
        <v>1.0</v>
      </c>
    </row>
    <row r="8">
      <c r="A8" s="76" t="s">
        <v>2952</v>
      </c>
      <c r="B8" s="39" t="s">
        <v>559</v>
      </c>
      <c r="C8" s="39" t="s">
        <v>2936</v>
      </c>
      <c r="D8" s="39" t="s">
        <v>2937</v>
      </c>
      <c r="E8" s="39" t="s">
        <v>2938</v>
      </c>
      <c r="F8" s="39" t="s">
        <v>64</v>
      </c>
      <c r="G8" s="39" t="s">
        <v>2953</v>
      </c>
      <c r="L8" s="39" t="s">
        <v>2940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X8" s="39">
        <v>0.0</v>
      </c>
      <c r="Y8" s="39">
        <v>0.0</v>
      </c>
      <c r="AE8" s="39">
        <v>1.0</v>
      </c>
    </row>
    <row r="9">
      <c r="A9" s="76" t="s">
        <v>2954</v>
      </c>
      <c r="B9" s="39" t="s">
        <v>559</v>
      </c>
      <c r="C9" s="39" t="s">
        <v>2936</v>
      </c>
      <c r="D9" s="39" t="s">
        <v>2937</v>
      </c>
      <c r="E9" s="39" t="s">
        <v>2938</v>
      </c>
      <c r="F9" s="39" t="s">
        <v>64</v>
      </c>
      <c r="G9" s="39" t="s">
        <v>2955</v>
      </c>
      <c r="L9" s="39" t="s">
        <v>2940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X9" s="39">
        <v>0.0</v>
      </c>
      <c r="Y9" s="39">
        <v>0.0</v>
      </c>
      <c r="AE9" s="39">
        <v>1.0</v>
      </c>
    </row>
    <row r="10">
      <c r="A10" s="76" t="s">
        <v>2956</v>
      </c>
      <c r="B10" s="39" t="s">
        <v>559</v>
      </c>
      <c r="C10" s="39" t="s">
        <v>2936</v>
      </c>
      <c r="D10" s="39" t="s">
        <v>2937</v>
      </c>
      <c r="E10" s="39" t="s">
        <v>2938</v>
      </c>
      <c r="F10" s="39" t="s">
        <v>64</v>
      </c>
      <c r="G10" s="39" t="s">
        <v>2957</v>
      </c>
      <c r="L10" s="39" t="s">
        <v>2940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X10" s="39">
        <v>1.0</v>
      </c>
      <c r="Y10" s="39">
        <v>0.0</v>
      </c>
      <c r="Z10" s="30" t="s">
        <v>2958</v>
      </c>
      <c r="AA10" s="30" t="s">
        <v>115</v>
      </c>
      <c r="AE10" s="39">
        <v>1.0</v>
      </c>
    </row>
    <row r="11">
      <c r="A11" s="76" t="s">
        <v>2959</v>
      </c>
      <c r="B11" s="39" t="s">
        <v>559</v>
      </c>
      <c r="C11" s="39" t="s">
        <v>2936</v>
      </c>
      <c r="D11" s="39" t="s">
        <v>2937</v>
      </c>
      <c r="E11" s="39" t="s">
        <v>2938</v>
      </c>
      <c r="F11" s="39" t="s">
        <v>64</v>
      </c>
      <c r="G11" s="39" t="s">
        <v>2960</v>
      </c>
      <c r="L11" s="39" t="s">
        <v>2940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X11" s="39">
        <v>0.0</v>
      </c>
      <c r="Y11" s="39">
        <v>0.0</v>
      </c>
      <c r="AE11" s="39">
        <v>1.0</v>
      </c>
    </row>
    <row r="12">
      <c r="A12" s="76" t="s">
        <v>2961</v>
      </c>
      <c r="B12" s="39" t="s">
        <v>559</v>
      </c>
      <c r="C12" s="39" t="s">
        <v>2936</v>
      </c>
      <c r="D12" s="39" t="s">
        <v>2937</v>
      </c>
      <c r="E12" s="39" t="s">
        <v>2938</v>
      </c>
      <c r="F12" s="39" t="s">
        <v>64</v>
      </c>
      <c r="G12" s="39" t="s">
        <v>2962</v>
      </c>
      <c r="H12" s="39" t="s">
        <v>2962</v>
      </c>
      <c r="I12" s="40">
        <v>18.595</v>
      </c>
      <c r="L12" s="39" t="s">
        <v>2940</v>
      </c>
      <c r="N12" s="39" t="s">
        <v>81</v>
      </c>
      <c r="O12" s="39" t="s">
        <v>68</v>
      </c>
      <c r="Q12" s="39">
        <v>1.0</v>
      </c>
      <c r="R12" s="39">
        <v>0.0</v>
      </c>
      <c r="S12" s="39">
        <v>0.0</v>
      </c>
      <c r="T12" s="39">
        <v>0.0</v>
      </c>
      <c r="U12" s="39">
        <v>0.0</v>
      </c>
      <c r="X12" s="39">
        <v>1.0</v>
      </c>
      <c r="Y12" s="39">
        <v>0.0</v>
      </c>
      <c r="Z12" s="30" t="s">
        <v>2963</v>
      </c>
      <c r="AA12" s="30" t="s">
        <v>115</v>
      </c>
      <c r="AE12" s="39">
        <v>1.0</v>
      </c>
    </row>
    <row r="13">
      <c r="A13" s="76" t="s">
        <v>2964</v>
      </c>
      <c r="B13" s="39" t="s">
        <v>559</v>
      </c>
      <c r="C13" s="39" t="s">
        <v>2936</v>
      </c>
      <c r="D13" s="39" t="s">
        <v>2937</v>
      </c>
      <c r="E13" s="39" t="s">
        <v>2938</v>
      </c>
      <c r="F13" s="39" t="s">
        <v>64</v>
      </c>
      <c r="G13" s="39" t="s">
        <v>2965</v>
      </c>
      <c r="H13" s="39" t="s">
        <v>2965</v>
      </c>
      <c r="I13" s="40">
        <v>19.598</v>
      </c>
      <c r="L13" s="39" t="s">
        <v>2940</v>
      </c>
      <c r="N13" s="39" t="s">
        <v>119</v>
      </c>
      <c r="O13" s="39" t="s">
        <v>68</v>
      </c>
      <c r="Q13" s="39">
        <v>0.0</v>
      </c>
      <c r="R13" s="39">
        <v>1.0</v>
      </c>
      <c r="S13" s="39">
        <v>0.0</v>
      </c>
      <c r="T13" s="39">
        <v>0.0</v>
      </c>
      <c r="U13" s="39">
        <v>1.0</v>
      </c>
      <c r="X13" s="39">
        <v>0.0</v>
      </c>
      <c r="Y13" s="39">
        <v>1.0</v>
      </c>
      <c r="Z13" s="30" t="s">
        <v>2966</v>
      </c>
      <c r="AA13" s="30" t="s">
        <v>97</v>
      </c>
      <c r="AE13" s="39">
        <v>1.0</v>
      </c>
    </row>
    <row r="14">
      <c r="A14" s="76" t="s">
        <v>2967</v>
      </c>
      <c r="B14" s="39" t="s">
        <v>559</v>
      </c>
      <c r="C14" s="39" t="s">
        <v>2936</v>
      </c>
      <c r="D14" s="39" t="s">
        <v>2937</v>
      </c>
      <c r="E14" s="39" t="s">
        <v>2938</v>
      </c>
      <c r="F14" s="39" t="s">
        <v>64</v>
      </c>
      <c r="G14" s="39" t="s">
        <v>2968</v>
      </c>
      <c r="H14" s="39" t="s">
        <v>2968</v>
      </c>
      <c r="I14" s="40">
        <v>20.247999999999998</v>
      </c>
      <c r="L14" s="39" t="s">
        <v>2940</v>
      </c>
      <c r="N14" s="39" t="s">
        <v>119</v>
      </c>
      <c r="O14" s="39" t="s">
        <v>68</v>
      </c>
      <c r="Q14" s="39">
        <v>0.0</v>
      </c>
      <c r="R14" s="39">
        <v>1.0</v>
      </c>
      <c r="S14" s="39">
        <v>0.0</v>
      </c>
      <c r="T14" s="39">
        <v>0.0</v>
      </c>
      <c r="U14" s="39">
        <v>0.0</v>
      </c>
      <c r="X14" s="39">
        <v>0.0</v>
      </c>
      <c r="Y14" s="39">
        <v>0.0</v>
      </c>
      <c r="AE14" s="39">
        <v>1.0</v>
      </c>
    </row>
    <row r="15">
      <c r="A15" s="76" t="s">
        <v>2969</v>
      </c>
      <c r="B15" s="39" t="s">
        <v>559</v>
      </c>
      <c r="C15" s="39" t="s">
        <v>2936</v>
      </c>
      <c r="D15" s="39" t="s">
        <v>2937</v>
      </c>
      <c r="E15" s="39" t="s">
        <v>2938</v>
      </c>
      <c r="F15" s="39" t="s">
        <v>64</v>
      </c>
      <c r="G15" s="39" t="s">
        <v>2970</v>
      </c>
      <c r="L15" s="39" t="s">
        <v>2940</v>
      </c>
      <c r="N15" s="39" t="s">
        <v>119</v>
      </c>
      <c r="O15" s="39" t="s">
        <v>68</v>
      </c>
      <c r="Q15" s="39">
        <v>0.0</v>
      </c>
      <c r="R15" s="39">
        <v>1.0</v>
      </c>
      <c r="S15" s="39">
        <v>0.0</v>
      </c>
      <c r="T15" s="39">
        <v>0.0</v>
      </c>
      <c r="U15" s="39">
        <v>0.0</v>
      </c>
      <c r="X15" s="39">
        <v>0.0</v>
      </c>
      <c r="Y15" s="39">
        <v>0.0</v>
      </c>
      <c r="AE15" s="39">
        <v>1.0</v>
      </c>
    </row>
    <row r="16">
      <c r="A16" s="76" t="s">
        <v>2971</v>
      </c>
      <c r="D16" s="39" t="s">
        <v>2937</v>
      </c>
      <c r="E16" s="39" t="s">
        <v>2938</v>
      </c>
      <c r="F16" s="39" t="s">
        <v>64</v>
      </c>
      <c r="G16" s="39" t="s">
        <v>2972</v>
      </c>
      <c r="H16" s="39" t="s">
        <v>2972</v>
      </c>
      <c r="I16" s="40">
        <v>20.947999999999997</v>
      </c>
      <c r="L16" s="39" t="s">
        <v>102</v>
      </c>
      <c r="N16" s="39" t="s">
        <v>119</v>
      </c>
      <c r="O16" s="39" t="s">
        <v>68</v>
      </c>
      <c r="Q16" s="39">
        <v>0.0</v>
      </c>
      <c r="R16" s="39">
        <v>1.0</v>
      </c>
      <c r="S16" s="39">
        <v>0.0</v>
      </c>
      <c r="T16" s="39">
        <v>0.0</v>
      </c>
      <c r="U16" s="39">
        <v>0.0</v>
      </c>
      <c r="X16" s="39">
        <v>0.0</v>
      </c>
      <c r="Y16" s="39">
        <v>0.0</v>
      </c>
      <c r="AE16" s="39">
        <v>1.0</v>
      </c>
    </row>
    <row r="17">
      <c r="A17" s="76" t="s">
        <v>2973</v>
      </c>
      <c r="D17" s="39" t="s">
        <v>2937</v>
      </c>
      <c r="E17" s="39" t="s">
        <v>2938</v>
      </c>
      <c r="F17" s="39" t="s">
        <v>64</v>
      </c>
      <c r="G17" s="39" t="s">
        <v>2974</v>
      </c>
      <c r="H17" s="39" t="s">
        <v>2974</v>
      </c>
      <c r="I17" s="40">
        <v>21.648</v>
      </c>
      <c r="L17" s="39" t="s">
        <v>102</v>
      </c>
      <c r="N17" s="39" t="s">
        <v>119</v>
      </c>
      <c r="O17" s="39" t="s">
        <v>68</v>
      </c>
      <c r="Q17" s="39">
        <v>0.0</v>
      </c>
      <c r="R17" s="39">
        <v>1.0</v>
      </c>
      <c r="S17" s="39">
        <v>0.0</v>
      </c>
      <c r="T17" s="39">
        <v>0.0</v>
      </c>
      <c r="U17" s="39">
        <v>0.0</v>
      </c>
      <c r="X17" s="39">
        <v>0.0</v>
      </c>
      <c r="Y17" s="39">
        <v>0.0</v>
      </c>
      <c r="AE17" s="39">
        <v>1.0</v>
      </c>
    </row>
    <row r="18">
      <c r="A18" s="76" t="s">
        <v>2975</v>
      </c>
      <c r="D18" s="39" t="s">
        <v>2937</v>
      </c>
      <c r="E18" s="39" t="s">
        <v>2938</v>
      </c>
      <c r="F18" s="39" t="s">
        <v>64</v>
      </c>
      <c r="G18" s="39" t="s">
        <v>2976</v>
      </c>
      <c r="H18" s="39" t="s">
        <v>2976</v>
      </c>
      <c r="I18" s="40">
        <v>22.348</v>
      </c>
      <c r="L18" s="39" t="s">
        <v>102</v>
      </c>
      <c r="N18" s="39" t="s">
        <v>119</v>
      </c>
      <c r="O18" s="39" t="s">
        <v>68</v>
      </c>
      <c r="Q18" s="39">
        <v>0.0</v>
      </c>
      <c r="R18" s="39">
        <v>1.0</v>
      </c>
      <c r="S18" s="39">
        <v>0.0</v>
      </c>
      <c r="T18" s="39">
        <v>0.0</v>
      </c>
      <c r="U18" s="39">
        <v>0.0</v>
      </c>
      <c r="X18" s="39">
        <v>0.0</v>
      </c>
      <c r="Y18" s="39">
        <v>0.0</v>
      </c>
      <c r="AE18" s="39">
        <v>1.0</v>
      </c>
    </row>
    <row r="19">
      <c r="A19" s="76" t="s">
        <v>2977</v>
      </c>
      <c r="D19" s="39" t="s">
        <v>2937</v>
      </c>
      <c r="E19" s="39" t="s">
        <v>2938</v>
      </c>
      <c r="F19" s="39" t="s">
        <v>64</v>
      </c>
      <c r="G19" s="39" t="s">
        <v>2978</v>
      </c>
      <c r="H19" s="39" t="s">
        <v>2978</v>
      </c>
      <c r="I19" s="40">
        <v>22.897999999999996</v>
      </c>
      <c r="L19" s="39" t="s">
        <v>102</v>
      </c>
      <c r="N19" s="39" t="s">
        <v>119</v>
      </c>
      <c r="O19" s="39" t="s">
        <v>68</v>
      </c>
      <c r="Q19" s="39">
        <v>0.0</v>
      </c>
      <c r="R19" s="39">
        <v>1.0</v>
      </c>
      <c r="S19" s="39">
        <v>0.0</v>
      </c>
      <c r="T19" s="39">
        <v>0.0</v>
      </c>
      <c r="U19" s="39">
        <v>0.0</v>
      </c>
      <c r="X19" s="39">
        <v>0.0</v>
      </c>
      <c r="Y19" s="39">
        <v>0.0</v>
      </c>
      <c r="AE19" s="39">
        <v>1.0</v>
      </c>
    </row>
    <row r="20">
      <c r="A20" s="76" t="s">
        <v>2979</v>
      </c>
      <c r="D20" s="39" t="s">
        <v>2937</v>
      </c>
      <c r="E20" s="39" t="s">
        <v>2938</v>
      </c>
      <c r="F20" s="39" t="s">
        <v>64</v>
      </c>
      <c r="G20" s="39" t="s">
        <v>2980</v>
      </c>
      <c r="H20" s="39" t="s">
        <v>2980</v>
      </c>
      <c r="I20" s="40">
        <v>23.352999999999998</v>
      </c>
      <c r="L20" s="39" t="s">
        <v>102</v>
      </c>
      <c r="N20" s="39" t="s">
        <v>119</v>
      </c>
      <c r="O20" s="39" t="s">
        <v>68</v>
      </c>
      <c r="Q20" s="39">
        <v>0.0</v>
      </c>
      <c r="R20" s="39">
        <v>1.0</v>
      </c>
      <c r="S20" s="39">
        <v>0.0</v>
      </c>
      <c r="T20" s="39">
        <v>0.0</v>
      </c>
      <c r="U20" s="39">
        <v>1.0</v>
      </c>
      <c r="X20" s="39">
        <v>0.0</v>
      </c>
      <c r="Y20" s="39">
        <v>0.0</v>
      </c>
      <c r="AE20" s="39">
        <v>1.0</v>
      </c>
    </row>
    <row r="21">
      <c r="A21" s="76" t="s">
        <v>2981</v>
      </c>
      <c r="B21" s="39" t="s">
        <v>215</v>
      </c>
      <c r="C21" s="39" t="s">
        <v>216</v>
      </c>
      <c r="D21" s="39" t="s">
        <v>2937</v>
      </c>
      <c r="E21" s="39" t="s">
        <v>2938</v>
      </c>
      <c r="F21" s="39" t="s">
        <v>64</v>
      </c>
      <c r="G21" s="39" t="s">
        <v>2982</v>
      </c>
      <c r="H21" s="39" t="s">
        <v>2982</v>
      </c>
      <c r="I21" s="40">
        <v>24.229799999999997</v>
      </c>
      <c r="L21" s="39" t="s">
        <v>2940</v>
      </c>
      <c r="N21" s="39" t="s">
        <v>119</v>
      </c>
      <c r="O21" s="39" t="s">
        <v>68</v>
      </c>
      <c r="Q21" s="39">
        <v>0.0</v>
      </c>
      <c r="R21" s="39">
        <v>1.0</v>
      </c>
      <c r="S21" s="39">
        <v>0.0</v>
      </c>
      <c r="T21" s="39">
        <v>0.0</v>
      </c>
      <c r="U21" s="39">
        <v>0.0</v>
      </c>
      <c r="X21" s="39">
        <v>0.0</v>
      </c>
      <c r="Y21" s="39">
        <v>0.0</v>
      </c>
      <c r="AE21" s="39">
        <v>1.0</v>
      </c>
    </row>
    <row r="22">
      <c r="A22" s="76" t="s">
        <v>2983</v>
      </c>
      <c r="D22" s="39" t="s">
        <v>2937</v>
      </c>
      <c r="E22" s="39" t="s">
        <v>2938</v>
      </c>
      <c r="F22" s="39" t="s">
        <v>64</v>
      </c>
      <c r="G22" s="39" t="s">
        <v>2984</v>
      </c>
      <c r="H22" s="39" t="s">
        <v>2984</v>
      </c>
      <c r="I22" s="40">
        <v>24.924799999999998</v>
      </c>
      <c r="L22" s="39" t="s">
        <v>102</v>
      </c>
      <c r="N22" s="39" t="s">
        <v>119</v>
      </c>
      <c r="O22" s="39" t="s">
        <v>68</v>
      </c>
      <c r="Q22" s="39">
        <v>0.0</v>
      </c>
      <c r="R22" s="39">
        <v>1.0</v>
      </c>
      <c r="S22" s="39">
        <v>0.0</v>
      </c>
      <c r="T22" s="39">
        <v>0.0</v>
      </c>
      <c r="U22" s="39">
        <v>0.0</v>
      </c>
      <c r="X22" s="39">
        <v>0.0</v>
      </c>
      <c r="Y22" s="39">
        <v>0.0</v>
      </c>
      <c r="AE22" s="39">
        <v>1.0</v>
      </c>
    </row>
    <row r="23">
      <c r="A23" s="76" t="s">
        <v>2985</v>
      </c>
      <c r="D23" s="39" t="s">
        <v>2937</v>
      </c>
      <c r="E23" s="39" t="s">
        <v>2938</v>
      </c>
      <c r="F23" s="39" t="s">
        <v>64</v>
      </c>
      <c r="G23" s="39" t="s">
        <v>2986</v>
      </c>
      <c r="H23" s="39" t="s">
        <v>2986</v>
      </c>
      <c r="I23" s="40">
        <v>25.7248</v>
      </c>
      <c r="L23" s="39" t="s">
        <v>102</v>
      </c>
      <c r="N23" s="39" t="s">
        <v>119</v>
      </c>
      <c r="O23" s="39" t="s">
        <v>68</v>
      </c>
      <c r="Q23" s="39">
        <v>0.0</v>
      </c>
      <c r="R23" s="39">
        <v>1.0</v>
      </c>
      <c r="S23" s="39">
        <v>0.0</v>
      </c>
      <c r="T23" s="39">
        <v>0.0</v>
      </c>
      <c r="U23" s="39">
        <v>0.0</v>
      </c>
      <c r="X23" s="39">
        <v>0.0</v>
      </c>
      <c r="Y23" s="39">
        <v>0.0</v>
      </c>
      <c r="AE23" s="39">
        <v>1.0</v>
      </c>
    </row>
    <row r="24">
      <c r="A24" s="76" t="s">
        <v>2987</v>
      </c>
      <c r="B24" s="39" t="s">
        <v>236</v>
      </c>
      <c r="C24" s="39" t="s">
        <v>237</v>
      </c>
      <c r="D24" s="39" t="s">
        <v>2937</v>
      </c>
      <c r="E24" s="39" t="s">
        <v>2938</v>
      </c>
      <c r="F24" s="39" t="s">
        <v>64</v>
      </c>
      <c r="G24" s="39" t="s">
        <v>2988</v>
      </c>
      <c r="H24" s="39" t="s">
        <v>2988</v>
      </c>
      <c r="I24" s="40">
        <v>26.784799999999997</v>
      </c>
      <c r="L24" s="39" t="s">
        <v>2940</v>
      </c>
      <c r="N24" s="39" t="s">
        <v>119</v>
      </c>
      <c r="O24" s="39" t="s">
        <v>68</v>
      </c>
      <c r="Q24" s="39">
        <v>0.0</v>
      </c>
      <c r="R24" s="39">
        <v>1.0</v>
      </c>
      <c r="S24" s="39">
        <v>0.0</v>
      </c>
      <c r="T24" s="39">
        <v>0.0</v>
      </c>
      <c r="U24" s="39">
        <v>0.0</v>
      </c>
      <c r="X24" s="39">
        <v>0.0</v>
      </c>
      <c r="Y24" s="39">
        <v>1.0</v>
      </c>
      <c r="Z24" s="30" t="s">
        <v>2989</v>
      </c>
      <c r="AA24" s="30" t="s">
        <v>97</v>
      </c>
      <c r="AE24" s="39">
        <v>1.0</v>
      </c>
    </row>
    <row r="25">
      <c r="A25" s="76" t="s">
        <v>2990</v>
      </c>
      <c r="B25" s="39" t="s">
        <v>236</v>
      </c>
      <c r="C25" s="39" t="s">
        <v>237</v>
      </c>
      <c r="D25" s="39" t="s">
        <v>2937</v>
      </c>
      <c r="E25" s="39" t="s">
        <v>2938</v>
      </c>
      <c r="F25" s="39" t="s">
        <v>64</v>
      </c>
      <c r="G25" s="39" t="s">
        <v>2991</v>
      </c>
      <c r="H25" s="39" t="s">
        <v>2991</v>
      </c>
      <c r="I25" s="40">
        <v>27.2598</v>
      </c>
      <c r="L25" s="39" t="s">
        <v>2940</v>
      </c>
      <c r="N25" s="39" t="s">
        <v>81</v>
      </c>
      <c r="O25" s="39" t="s">
        <v>68</v>
      </c>
      <c r="Q25" s="39">
        <v>1.0</v>
      </c>
      <c r="R25" s="39">
        <v>0.0</v>
      </c>
      <c r="S25" s="39">
        <v>0.0</v>
      </c>
      <c r="T25" s="39">
        <v>0.0</v>
      </c>
      <c r="U25" s="39">
        <v>0.0</v>
      </c>
      <c r="X25" s="39">
        <v>0.0</v>
      </c>
      <c r="Y25" s="39">
        <v>0.0</v>
      </c>
      <c r="AE25" s="39">
        <v>1.0</v>
      </c>
    </row>
    <row r="26">
      <c r="A26" s="76" t="s">
        <v>2992</v>
      </c>
      <c r="B26" s="39" t="s">
        <v>236</v>
      </c>
      <c r="C26" s="39" t="s">
        <v>237</v>
      </c>
      <c r="D26" s="39" t="s">
        <v>2937</v>
      </c>
      <c r="E26" s="39" t="s">
        <v>2938</v>
      </c>
      <c r="F26" s="39" t="s">
        <v>64</v>
      </c>
      <c r="G26" s="39" t="s">
        <v>2970</v>
      </c>
      <c r="L26" s="39" t="s">
        <v>2940</v>
      </c>
      <c r="N26" s="39" t="s">
        <v>119</v>
      </c>
      <c r="O26" s="39" t="s">
        <v>68</v>
      </c>
      <c r="Q26" s="39">
        <v>0.0</v>
      </c>
      <c r="R26" s="39">
        <v>1.0</v>
      </c>
      <c r="S26" s="39">
        <v>0.0</v>
      </c>
      <c r="T26" s="39">
        <v>0.0</v>
      </c>
      <c r="U26" s="39">
        <v>0.0</v>
      </c>
      <c r="X26" s="39">
        <v>0.0</v>
      </c>
      <c r="Y26" s="39">
        <v>0.0</v>
      </c>
      <c r="AE26" s="39">
        <v>1.0</v>
      </c>
    </row>
    <row r="27">
      <c r="A27" s="76" t="s">
        <v>2993</v>
      </c>
      <c r="D27" s="39" t="s">
        <v>2937</v>
      </c>
      <c r="E27" s="39" t="s">
        <v>2938</v>
      </c>
      <c r="F27" s="39" t="s">
        <v>64</v>
      </c>
      <c r="G27" s="39" t="s">
        <v>2994</v>
      </c>
      <c r="H27" s="39" t="s">
        <v>2994</v>
      </c>
      <c r="I27" s="40">
        <v>27.8598</v>
      </c>
      <c r="L27" s="39" t="s">
        <v>102</v>
      </c>
      <c r="N27" s="39" t="s">
        <v>119</v>
      </c>
      <c r="O27" s="39" t="s">
        <v>68</v>
      </c>
      <c r="Q27" s="39">
        <v>0.0</v>
      </c>
      <c r="R27" s="39">
        <v>1.0</v>
      </c>
      <c r="S27" s="39">
        <v>0.0</v>
      </c>
      <c r="T27" s="39">
        <v>0.0</v>
      </c>
      <c r="U27" s="39">
        <v>0.0</v>
      </c>
      <c r="X27" s="39">
        <v>0.0</v>
      </c>
      <c r="Y27" s="39">
        <v>0.0</v>
      </c>
      <c r="AE27" s="39">
        <v>1.0</v>
      </c>
    </row>
    <row r="28">
      <c r="A28" s="76" t="s">
        <v>2995</v>
      </c>
      <c r="B28" s="39" t="s">
        <v>2996</v>
      </c>
      <c r="C28" s="39" t="s">
        <v>2997</v>
      </c>
      <c r="D28" s="39" t="s">
        <v>2937</v>
      </c>
      <c r="E28" s="39" t="s">
        <v>2938</v>
      </c>
      <c r="F28" s="39" t="s">
        <v>64</v>
      </c>
      <c r="G28" s="39" t="s">
        <v>2998</v>
      </c>
      <c r="H28" s="39" t="s">
        <v>2998</v>
      </c>
      <c r="I28" s="40">
        <v>28.614799999999995</v>
      </c>
      <c r="L28" s="39" t="s">
        <v>2940</v>
      </c>
      <c r="N28" s="39" t="s">
        <v>119</v>
      </c>
      <c r="O28" s="39" t="s">
        <v>68</v>
      </c>
      <c r="Q28" s="39">
        <v>0.0</v>
      </c>
      <c r="R28" s="39">
        <v>1.0</v>
      </c>
      <c r="S28" s="39">
        <v>0.0</v>
      </c>
      <c r="T28" s="39">
        <v>0.0</v>
      </c>
      <c r="U28" s="39">
        <v>0.0</v>
      </c>
      <c r="X28" s="39">
        <v>0.0</v>
      </c>
      <c r="Y28" s="39">
        <v>1.0</v>
      </c>
      <c r="Z28" s="30" t="s">
        <v>2999</v>
      </c>
      <c r="AA28" s="30" t="s">
        <v>97</v>
      </c>
      <c r="AE28" s="39">
        <v>1.0</v>
      </c>
    </row>
    <row r="29">
      <c r="A29" s="76" t="s">
        <v>3000</v>
      </c>
      <c r="D29" s="39" t="s">
        <v>2937</v>
      </c>
      <c r="E29" s="39" t="s">
        <v>2938</v>
      </c>
      <c r="F29" s="39" t="s">
        <v>64</v>
      </c>
      <c r="G29" s="39" t="s">
        <v>3001</v>
      </c>
      <c r="H29" s="39" t="s">
        <v>3001</v>
      </c>
      <c r="I29" s="40">
        <v>29.364799999999995</v>
      </c>
      <c r="L29" s="39" t="s">
        <v>102</v>
      </c>
      <c r="N29" s="39" t="s">
        <v>119</v>
      </c>
      <c r="O29" s="39" t="s">
        <v>68</v>
      </c>
      <c r="Q29" s="39">
        <v>0.0</v>
      </c>
      <c r="R29" s="39">
        <v>1.0</v>
      </c>
      <c r="S29" s="39">
        <v>0.0</v>
      </c>
      <c r="T29" s="39">
        <v>0.0</v>
      </c>
      <c r="U29" s="39">
        <v>1.0</v>
      </c>
      <c r="X29" s="39">
        <v>0.0</v>
      </c>
      <c r="Y29" s="39">
        <v>0.0</v>
      </c>
      <c r="AE29" s="39">
        <v>1.0</v>
      </c>
    </row>
    <row r="30">
      <c r="A30" s="76" t="s">
        <v>3002</v>
      </c>
      <c r="B30" s="39" t="s">
        <v>252</v>
      </c>
      <c r="C30" s="39" t="s">
        <v>253</v>
      </c>
      <c r="D30" s="39" t="s">
        <v>2937</v>
      </c>
      <c r="E30" s="39" t="s">
        <v>2938</v>
      </c>
      <c r="F30" s="39" t="s">
        <v>64</v>
      </c>
      <c r="G30" s="39" t="s">
        <v>3003</v>
      </c>
      <c r="L30" s="39" t="s">
        <v>2940</v>
      </c>
      <c r="N30" s="39" t="s">
        <v>81</v>
      </c>
      <c r="O30" s="39" t="s">
        <v>68</v>
      </c>
      <c r="Q30" s="39">
        <v>1.0</v>
      </c>
      <c r="R30" s="39">
        <v>0.0</v>
      </c>
      <c r="S30" s="39">
        <v>0.0</v>
      </c>
      <c r="T30" s="39">
        <v>0.0</v>
      </c>
      <c r="U30" s="39">
        <v>0.0</v>
      </c>
      <c r="X30" s="39">
        <v>1.0</v>
      </c>
      <c r="Y30" s="39">
        <v>0.0</v>
      </c>
      <c r="Z30" s="30" t="s">
        <v>3004</v>
      </c>
      <c r="AA30" s="30" t="s">
        <v>115</v>
      </c>
      <c r="AE30" s="39">
        <v>1.0</v>
      </c>
    </row>
    <row r="31">
      <c r="A31" s="76" t="s">
        <v>3005</v>
      </c>
      <c r="B31" s="39" t="s">
        <v>252</v>
      </c>
      <c r="C31" s="39" t="s">
        <v>253</v>
      </c>
      <c r="D31" s="39" t="s">
        <v>2937</v>
      </c>
      <c r="E31" s="39" t="s">
        <v>2938</v>
      </c>
      <c r="F31" s="39" t="s">
        <v>64</v>
      </c>
      <c r="G31" s="39" t="s">
        <v>3006</v>
      </c>
      <c r="H31" s="39" t="s">
        <v>3006</v>
      </c>
      <c r="I31" s="40">
        <v>29.964799999999997</v>
      </c>
      <c r="L31" s="39" t="s">
        <v>2940</v>
      </c>
      <c r="N31" s="39" t="s">
        <v>81</v>
      </c>
      <c r="O31" s="39" t="s">
        <v>68</v>
      </c>
      <c r="Q31" s="39">
        <v>1.0</v>
      </c>
      <c r="R31" s="39">
        <v>0.0</v>
      </c>
      <c r="S31" s="39">
        <v>0.0</v>
      </c>
      <c r="T31" s="39">
        <v>0.0</v>
      </c>
      <c r="U31" s="39">
        <v>0.0</v>
      </c>
      <c r="X31" s="39">
        <v>1.0</v>
      </c>
      <c r="Y31" s="39">
        <v>0.0</v>
      </c>
      <c r="Z31" s="30" t="s">
        <v>3004</v>
      </c>
      <c r="AA31" s="30" t="s">
        <v>115</v>
      </c>
      <c r="AE31" s="39">
        <v>1.0</v>
      </c>
    </row>
    <row r="32">
      <c r="A32" s="76" t="s">
        <v>3007</v>
      </c>
      <c r="D32" s="39" t="s">
        <v>2937</v>
      </c>
      <c r="E32" s="39" t="s">
        <v>2938</v>
      </c>
      <c r="F32" s="39" t="s">
        <v>64</v>
      </c>
      <c r="G32" s="39" t="s">
        <v>3008</v>
      </c>
      <c r="H32" s="39" t="s">
        <v>3008</v>
      </c>
      <c r="I32" s="40">
        <v>30.499799999999997</v>
      </c>
      <c r="L32" s="39" t="s">
        <v>102</v>
      </c>
      <c r="N32" s="39" t="s">
        <v>119</v>
      </c>
      <c r="O32" s="39" t="s">
        <v>68</v>
      </c>
      <c r="Q32" s="39">
        <v>0.0</v>
      </c>
      <c r="R32" s="39">
        <v>1.0</v>
      </c>
      <c r="S32" s="39">
        <v>0.0</v>
      </c>
      <c r="T32" s="39">
        <v>0.0</v>
      </c>
      <c r="U32" s="39">
        <v>0.0</v>
      </c>
      <c r="X32" s="39">
        <v>0.0</v>
      </c>
      <c r="Y32" s="39">
        <v>0.0</v>
      </c>
      <c r="AE32" s="39">
        <v>1.0</v>
      </c>
    </row>
    <row r="33">
      <c r="A33" s="76" t="s">
        <v>3009</v>
      </c>
      <c r="D33" s="39" t="s">
        <v>2937</v>
      </c>
      <c r="E33" s="39" t="s">
        <v>2938</v>
      </c>
      <c r="F33" s="39" t="s">
        <v>64</v>
      </c>
      <c r="G33" s="39" t="s">
        <v>3010</v>
      </c>
      <c r="H33" s="39" t="s">
        <v>3010</v>
      </c>
      <c r="I33" s="40">
        <v>31.0998</v>
      </c>
      <c r="L33" s="39" t="s">
        <v>102</v>
      </c>
      <c r="N33" s="39" t="s">
        <v>119</v>
      </c>
      <c r="O33" s="39" t="s">
        <v>68</v>
      </c>
      <c r="Q33" s="39">
        <v>0.0</v>
      </c>
      <c r="R33" s="39">
        <v>1.0</v>
      </c>
      <c r="S33" s="39">
        <v>0.0</v>
      </c>
      <c r="T33" s="39">
        <v>0.0</v>
      </c>
      <c r="U33" s="39">
        <v>0.0</v>
      </c>
      <c r="X33" s="39">
        <v>0.0</v>
      </c>
      <c r="Y33" s="39">
        <v>0.0</v>
      </c>
      <c r="AE33" s="39">
        <v>1.0</v>
      </c>
    </row>
    <row r="34">
      <c r="A34" s="76" t="s">
        <v>3011</v>
      </c>
      <c r="D34" s="39" t="s">
        <v>2937</v>
      </c>
      <c r="E34" s="39" t="s">
        <v>2938</v>
      </c>
      <c r="F34" s="39" t="s">
        <v>64</v>
      </c>
      <c r="G34" s="39" t="s">
        <v>3012</v>
      </c>
      <c r="H34" s="39" t="s">
        <v>3012</v>
      </c>
      <c r="I34" s="40">
        <v>31.794799999999995</v>
      </c>
      <c r="L34" s="39" t="s">
        <v>102</v>
      </c>
      <c r="N34" s="39" t="s">
        <v>119</v>
      </c>
      <c r="O34" s="39" t="s">
        <v>68</v>
      </c>
      <c r="Q34" s="39">
        <v>0.0</v>
      </c>
      <c r="R34" s="39">
        <v>1.0</v>
      </c>
      <c r="S34" s="39">
        <v>0.0</v>
      </c>
      <c r="T34" s="39">
        <v>0.0</v>
      </c>
      <c r="U34" s="39">
        <v>1.0</v>
      </c>
      <c r="X34" s="39">
        <v>0.0</v>
      </c>
      <c r="Y34" s="39">
        <v>0.0</v>
      </c>
      <c r="AE34" s="39">
        <v>1.0</v>
      </c>
    </row>
    <row r="35">
      <c r="A35" s="76" t="s">
        <v>3013</v>
      </c>
      <c r="B35" s="39" t="s">
        <v>262</v>
      </c>
      <c r="C35" s="39" t="s">
        <v>263</v>
      </c>
      <c r="D35" s="39" t="s">
        <v>2937</v>
      </c>
      <c r="E35" s="39" t="s">
        <v>2938</v>
      </c>
      <c r="F35" s="39" t="s">
        <v>64</v>
      </c>
      <c r="G35" s="39" t="s">
        <v>3014</v>
      </c>
      <c r="H35" s="39" t="s">
        <v>3014</v>
      </c>
      <c r="I35" s="40">
        <v>32.8348</v>
      </c>
      <c r="L35" s="39" t="s">
        <v>2940</v>
      </c>
      <c r="N35" s="39" t="s">
        <v>119</v>
      </c>
      <c r="O35" s="39" t="s">
        <v>68</v>
      </c>
      <c r="Q35" s="39">
        <v>0.0</v>
      </c>
      <c r="R35" s="39">
        <v>1.0</v>
      </c>
      <c r="S35" s="39">
        <v>0.0</v>
      </c>
      <c r="T35" s="39">
        <v>0.0</v>
      </c>
      <c r="U35" s="39">
        <v>0.0</v>
      </c>
      <c r="X35" s="39">
        <v>0.0</v>
      </c>
      <c r="Y35" s="39">
        <v>2.0</v>
      </c>
      <c r="Z35" s="30" t="s">
        <v>3015</v>
      </c>
      <c r="AA35" s="30" t="s">
        <v>315</v>
      </c>
      <c r="AE35" s="39">
        <v>1.0</v>
      </c>
    </row>
    <row r="36">
      <c r="A36" s="76" t="s">
        <v>3016</v>
      </c>
      <c r="B36" s="39" t="s">
        <v>262</v>
      </c>
      <c r="C36" s="39" t="s">
        <v>263</v>
      </c>
      <c r="D36" s="39" t="s">
        <v>2937</v>
      </c>
      <c r="E36" s="39" t="s">
        <v>2938</v>
      </c>
      <c r="F36" s="39" t="s">
        <v>64</v>
      </c>
      <c r="G36" s="39" t="s">
        <v>3017</v>
      </c>
      <c r="L36" s="39" t="s">
        <v>2940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X36" s="39">
        <v>0.0</v>
      </c>
      <c r="Y36" s="39">
        <v>1.0</v>
      </c>
      <c r="Z36" s="30" t="s">
        <v>3018</v>
      </c>
      <c r="AA36" s="30" t="s">
        <v>97</v>
      </c>
      <c r="AE36" s="39">
        <v>1.0</v>
      </c>
    </row>
    <row r="37">
      <c r="A37" s="76" t="s">
        <v>3019</v>
      </c>
      <c r="B37" s="39" t="s">
        <v>262</v>
      </c>
      <c r="C37" s="39" t="s">
        <v>263</v>
      </c>
      <c r="D37" s="39" t="s">
        <v>2937</v>
      </c>
      <c r="E37" s="39" t="s">
        <v>2938</v>
      </c>
      <c r="F37" s="39" t="s">
        <v>64</v>
      </c>
      <c r="G37" s="39" t="s">
        <v>3020</v>
      </c>
      <c r="L37" s="39" t="s">
        <v>2940</v>
      </c>
      <c r="N37" s="39" t="s">
        <v>81</v>
      </c>
      <c r="O37" s="39" t="s">
        <v>68</v>
      </c>
      <c r="Q37" s="39">
        <v>1.0</v>
      </c>
      <c r="R37" s="39">
        <v>0.0</v>
      </c>
      <c r="S37" s="39">
        <v>0.0</v>
      </c>
      <c r="T37" s="39">
        <v>0.0</v>
      </c>
      <c r="U37" s="39">
        <v>1.0</v>
      </c>
      <c r="X37" s="39">
        <v>0.0</v>
      </c>
      <c r="Y37" s="39">
        <v>0.0</v>
      </c>
      <c r="AE37" s="39">
        <v>1.0</v>
      </c>
    </row>
    <row r="38">
      <c r="A38" s="76" t="s">
        <v>3021</v>
      </c>
      <c r="B38" s="39" t="s">
        <v>262</v>
      </c>
      <c r="C38" s="39" t="s">
        <v>263</v>
      </c>
      <c r="D38" s="39" t="s">
        <v>2937</v>
      </c>
      <c r="E38" s="39" t="s">
        <v>2938</v>
      </c>
      <c r="F38" s="39" t="s">
        <v>64</v>
      </c>
      <c r="G38" s="39" t="s">
        <v>3022</v>
      </c>
      <c r="L38" s="39" t="s">
        <v>2940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X38" s="39">
        <v>0.0</v>
      </c>
      <c r="Y38" s="39">
        <v>0.0</v>
      </c>
      <c r="AE38" s="39">
        <v>1.0</v>
      </c>
    </row>
    <row r="39">
      <c r="A39" s="76" t="s">
        <v>3023</v>
      </c>
      <c r="B39" s="39" t="s">
        <v>262</v>
      </c>
      <c r="C39" s="39" t="s">
        <v>263</v>
      </c>
      <c r="D39" s="39" t="s">
        <v>2937</v>
      </c>
      <c r="E39" s="39" t="s">
        <v>2938</v>
      </c>
      <c r="F39" s="39" t="s">
        <v>64</v>
      </c>
      <c r="G39" s="39" t="s">
        <v>3024</v>
      </c>
      <c r="H39" s="39" t="s">
        <v>3024</v>
      </c>
      <c r="I39" s="40">
        <v>33.2248</v>
      </c>
      <c r="L39" s="39" t="s">
        <v>2940</v>
      </c>
      <c r="N39" s="39" t="s">
        <v>119</v>
      </c>
      <c r="O39" s="39" t="s">
        <v>68</v>
      </c>
      <c r="Q39" s="39">
        <v>0.0</v>
      </c>
      <c r="R39" s="39">
        <v>1.0</v>
      </c>
      <c r="S39" s="39">
        <v>0.0</v>
      </c>
      <c r="T39" s="39">
        <v>0.0</v>
      </c>
      <c r="U39" s="39">
        <v>0.0</v>
      </c>
      <c r="X39" s="39">
        <v>0.0</v>
      </c>
      <c r="Y39" s="39">
        <v>0.0</v>
      </c>
      <c r="AE39" s="39">
        <v>1.0</v>
      </c>
    </row>
    <row r="40">
      <c r="A40" s="76" t="s">
        <v>3025</v>
      </c>
      <c r="D40" s="39" t="s">
        <v>2937</v>
      </c>
      <c r="E40" s="39" t="s">
        <v>2938</v>
      </c>
      <c r="F40" s="39" t="s">
        <v>64</v>
      </c>
      <c r="G40" s="39" t="s">
        <v>3026</v>
      </c>
      <c r="H40" s="39" t="s">
        <v>3026</v>
      </c>
      <c r="I40" s="40">
        <v>33.7898</v>
      </c>
      <c r="L40" s="39" t="s">
        <v>102</v>
      </c>
      <c r="N40" s="39" t="s">
        <v>67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X40" s="39">
        <v>0.0</v>
      </c>
      <c r="Y40" s="39">
        <v>0.0</v>
      </c>
      <c r="AE40" s="39">
        <v>1.0</v>
      </c>
    </row>
    <row r="41">
      <c r="A41" s="76" t="s">
        <v>3027</v>
      </c>
      <c r="B41" s="39" t="s">
        <v>1597</v>
      </c>
      <c r="C41" s="39" t="s">
        <v>3028</v>
      </c>
      <c r="D41" s="39" t="s">
        <v>2937</v>
      </c>
      <c r="E41" s="39" t="s">
        <v>2938</v>
      </c>
      <c r="F41" s="39" t="s">
        <v>64</v>
      </c>
      <c r="G41" s="39" t="s">
        <v>3029</v>
      </c>
      <c r="H41" s="39" t="s">
        <v>3029</v>
      </c>
      <c r="I41" s="40">
        <v>34.1898</v>
      </c>
      <c r="L41" s="39" t="s">
        <v>2940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X41" s="39">
        <v>0.0</v>
      </c>
      <c r="Y41" s="39">
        <v>0.0</v>
      </c>
      <c r="AE41" s="39">
        <v>1.0</v>
      </c>
    </row>
    <row r="42">
      <c r="A42" s="76" t="s">
        <v>3030</v>
      </c>
      <c r="D42" s="39" t="s">
        <v>2937</v>
      </c>
      <c r="E42" s="39" t="s">
        <v>2938</v>
      </c>
      <c r="F42" s="39" t="s">
        <v>64</v>
      </c>
      <c r="G42" s="39" t="s">
        <v>3031</v>
      </c>
      <c r="H42" s="39" t="s">
        <v>3031</v>
      </c>
      <c r="I42" s="40">
        <v>34.5898</v>
      </c>
      <c r="L42" s="39" t="s">
        <v>102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X42" s="39">
        <v>0.0</v>
      </c>
      <c r="Y42" s="39">
        <v>0.0</v>
      </c>
      <c r="AE42" s="39">
        <v>1.0</v>
      </c>
    </row>
    <row r="43">
      <c r="A43" s="76" t="s">
        <v>3032</v>
      </c>
      <c r="B43" s="39" t="s">
        <v>1597</v>
      </c>
      <c r="C43" s="39" t="s">
        <v>3028</v>
      </c>
      <c r="D43" s="39" t="s">
        <v>2937</v>
      </c>
      <c r="E43" s="39" t="s">
        <v>2938</v>
      </c>
      <c r="F43" s="39" t="s">
        <v>64</v>
      </c>
      <c r="G43" s="39" t="s">
        <v>3033</v>
      </c>
      <c r="H43" s="39" t="s">
        <v>3033</v>
      </c>
      <c r="I43" s="40">
        <v>35.074799999999996</v>
      </c>
      <c r="L43" s="39" t="s">
        <v>2940</v>
      </c>
      <c r="N43" s="39" t="s">
        <v>67</v>
      </c>
      <c r="O43" s="39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X43" s="39">
        <v>0.0</v>
      </c>
      <c r="Y43" s="39">
        <v>0.0</v>
      </c>
      <c r="AE43" s="39">
        <v>1.0</v>
      </c>
    </row>
    <row r="44">
      <c r="A44" s="76" t="s">
        <v>3034</v>
      </c>
      <c r="D44" s="39" t="s">
        <v>2937</v>
      </c>
      <c r="E44" s="39" t="s">
        <v>2938</v>
      </c>
      <c r="F44" s="39" t="s">
        <v>64</v>
      </c>
      <c r="G44" s="39" t="s">
        <v>3035</v>
      </c>
      <c r="H44" s="39" t="s">
        <v>3035</v>
      </c>
      <c r="I44" s="40">
        <v>35.4748</v>
      </c>
      <c r="L44" s="39" t="s">
        <v>102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X44" s="39">
        <v>0.0</v>
      </c>
      <c r="Y44" s="39">
        <v>0.0</v>
      </c>
      <c r="AE44" s="39">
        <v>1.0</v>
      </c>
    </row>
    <row r="45">
      <c r="A45" s="76" t="s">
        <v>3036</v>
      </c>
      <c r="D45" s="39" t="s">
        <v>2937</v>
      </c>
      <c r="E45" s="39" t="s">
        <v>2938</v>
      </c>
      <c r="F45" s="39" t="s">
        <v>64</v>
      </c>
      <c r="G45" s="39" t="s">
        <v>3037</v>
      </c>
      <c r="H45" s="39" t="s">
        <v>3037</v>
      </c>
      <c r="I45" s="40">
        <v>36.99079999999999</v>
      </c>
      <c r="L45" s="39" t="s">
        <v>102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X45" s="39">
        <v>0.0</v>
      </c>
      <c r="Y45" s="39">
        <v>0.0</v>
      </c>
      <c r="AE45" s="39">
        <v>1.0</v>
      </c>
    </row>
    <row r="46">
      <c r="A46" s="76" t="s">
        <v>3038</v>
      </c>
      <c r="D46" s="39" t="s">
        <v>2937</v>
      </c>
      <c r="E46" s="39" t="s">
        <v>2938</v>
      </c>
      <c r="F46" s="39" t="s">
        <v>64</v>
      </c>
      <c r="G46" s="39" t="s">
        <v>3039</v>
      </c>
      <c r="H46" s="39" t="s">
        <v>3039</v>
      </c>
      <c r="I46" s="40">
        <v>37.398799999999994</v>
      </c>
      <c r="L46" s="39" t="s">
        <v>102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X46" s="39">
        <v>0.0</v>
      </c>
      <c r="Y46" s="39">
        <v>0.0</v>
      </c>
      <c r="AE46" s="39">
        <v>1.0</v>
      </c>
    </row>
    <row r="47">
      <c r="A47" s="76" t="s">
        <v>3040</v>
      </c>
      <c r="D47" s="39" t="s">
        <v>2937</v>
      </c>
      <c r="E47" s="39" t="s">
        <v>2938</v>
      </c>
      <c r="F47" s="39" t="s">
        <v>64</v>
      </c>
      <c r="G47" s="39" t="s">
        <v>3041</v>
      </c>
      <c r="H47" s="39" t="s">
        <v>3041</v>
      </c>
      <c r="I47" s="40">
        <v>38.0008</v>
      </c>
      <c r="L47" s="39" t="s">
        <v>102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X47" s="39">
        <v>0.0</v>
      </c>
      <c r="Y47" s="39">
        <v>0.0</v>
      </c>
      <c r="AE47" s="39">
        <v>1.0</v>
      </c>
    </row>
    <row r="48">
      <c r="A48" s="76" t="s">
        <v>3042</v>
      </c>
      <c r="D48" s="39" t="s">
        <v>2937</v>
      </c>
      <c r="E48" s="39" t="s">
        <v>2938</v>
      </c>
      <c r="F48" s="39" t="s">
        <v>64</v>
      </c>
      <c r="G48" s="39" t="s">
        <v>3043</v>
      </c>
      <c r="H48" s="39" t="s">
        <v>3043</v>
      </c>
      <c r="I48" s="40">
        <v>40.6628</v>
      </c>
      <c r="L48" s="39" t="s">
        <v>102</v>
      </c>
      <c r="N48" s="39" t="s">
        <v>119</v>
      </c>
      <c r="O48" s="39" t="s">
        <v>68</v>
      </c>
      <c r="Q48" s="39">
        <v>0.0</v>
      </c>
      <c r="R48" s="39">
        <v>1.0</v>
      </c>
      <c r="S48" s="39">
        <v>0.0</v>
      </c>
      <c r="T48" s="39">
        <v>0.0</v>
      </c>
      <c r="U48" s="39">
        <v>1.0</v>
      </c>
      <c r="X48" s="39">
        <v>0.0</v>
      </c>
      <c r="Y48" s="39">
        <v>0.0</v>
      </c>
      <c r="AE48" s="39">
        <v>1.0</v>
      </c>
    </row>
    <row r="49">
      <c r="A49" s="76" t="s">
        <v>3044</v>
      </c>
      <c r="B49" s="39" t="s">
        <v>872</v>
      </c>
      <c r="C49" s="39" t="s">
        <v>873</v>
      </c>
      <c r="D49" s="39" t="s">
        <v>2937</v>
      </c>
      <c r="E49" s="39" t="s">
        <v>2938</v>
      </c>
      <c r="F49" s="39" t="s">
        <v>64</v>
      </c>
      <c r="G49" s="39" t="s">
        <v>3045</v>
      </c>
      <c r="H49" s="39" t="s">
        <v>3045</v>
      </c>
      <c r="I49" s="40">
        <v>41.2428</v>
      </c>
      <c r="L49" s="39" t="s">
        <v>2940</v>
      </c>
      <c r="N49" s="39" t="s">
        <v>119</v>
      </c>
      <c r="O49" s="39" t="s">
        <v>68</v>
      </c>
      <c r="Q49" s="39">
        <v>0.0</v>
      </c>
      <c r="R49" s="39">
        <v>1.0</v>
      </c>
      <c r="S49" s="39">
        <v>0.0</v>
      </c>
      <c r="T49" s="39">
        <v>0.0</v>
      </c>
      <c r="U49" s="39">
        <v>0.0</v>
      </c>
      <c r="X49" s="39">
        <v>1.0</v>
      </c>
      <c r="Y49" s="39">
        <v>1.0</v>
      </c>
      <c r="Z49" s="30" t="s">
        <v>3046</v>
      </c>
      <c r="AA49" s="30" t="s">
        <v>70</v>
      </c>
      <c r="AE49" s="39">
        <v>1.0</v>
      </c>
    </row>
    <row r="50">
      <c r="A50" s="76" t="s">
        <v>3047</v>
      </c>
      <c r="B50" s="39" t="s">
        <v>872</v>
      </c>
      <c r="C50" s="39" t="s">
        <v>873</v>
      </c>
      <c r="D50" s="39" t="s">
        <v>2937</v>
      </c>
      <c r="E50" s="39" t="s">
        <v>2938</v>
      </c>
      <c r="F50" s="39" t="s">
        <v>64</v>
      </c>
      <c r="G50" s="39" t="s">
        <v>3048</v>
      </c>
      <c r="H50" s="39" t="s">
        <v>3048</v>
      </c>
      <c r="I50" s="40">
        <v>42.1778</v>
      </c>
      <c r="L50" s="39" t="s">
        <v>2940</v>
      </c>
      <c r="N50" s="39" t="s">
        <v>81</v>
      </c>
      <c r="O50" s="39" t="s">
        <v>68</v>
      </c>
      <c r="Q50" s="39">
        <v>1.0</v>
      </c>
      <c r="R50" s="39">
        <v>0.0</v>
      </c>
      <c r="S50" s="39">
        <v>0.0</v>
      </c>
      <c r="T50" s="39">
        <v>0.0</v>
      </c>
      <c r="U50" s="39">
        <v>0.0</v>
      </c>
      <c r="X50" s="39">
        <v>1.0</v>
      </c>
      <c r="Y50" s="39">
        <v>2.0</v>
      </c>
      <c r="Z50" s="30" t="s">
        <v>3049</v>
      </c>
      <c r="AA50" s="30" t="s">
        <v>1138</v>
      </c>
      <c r="AE50" s="39">
        <v>1.0</v>
      </c>
    </row>
    <row r="51">
      <c r="A51" s="76" t="s">
        <v>3050</v>
      </c>
      <c r="B51" s="39" t="s">
        <v>872</v>
      </c>
      <c r="C51" s="39" t="s">
        <v>873</v>
      </c>
      <c r="D51" s="39" t="s">
        <v>2937</v>
      </c>
      <c r="E51" s="39" t="s">
        <v>2938</v>
      </c>
      <c r="F51" s="39" t="s">
        <v>64</v>
      </c>
      <c r="G51" s="39" t="s">
        <v>3051</v>
      </c>
      <c r="H51" s="39" t="s">
        <v>3051</v>
      </c>
      <c r="I51" s="40">
        <v>43.0378</v>
      </c>
      <c r="L51" s="39" t="s">
        <v>2940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X51" s="39">
        <v>0.0</v>
      </c>
      <c r="Y51" s="39">
        <v>0.0</v>
      </c>
      <c r="AE51" s="39">
        <v>1.0</v>
      </c>
    </row>
    <row r="52">
      <c r="A52" s="76" t="s">
        <v>3052</v>
      </c>
      <c r="B52" s="39" t="s">
        <v>872</v>
      </c>
      <c r="C52" s="39" t="s">
        <v>873</v>
      </c>
      <c r="D52" s="39" t="s">
        <v>2937</v>
      </c>
      <c r="E52" s="39" t="s">
        <v>2938</v>
      </c>
      <c r="F52" s="39" t="s">
        <v>64</v>
      </c>
      <c r="G52" s="39" t="s">
        <v>3053</v>
      </c>
      <c r="H52" s="39" t="s">
        <v>3053</v>
      </c>
      <c r="I52" s="40">
        <v>43.632799999999996</v>
      </c>
      <c r="L52" s="39" t="s">
        <v>2940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X52" s="39">
        <v>0.0</v>
      </c>
      <c r="Y52" s="39">
        <v>0.0</v>
      </c>
      <c r="AE52" s="39">
        <v>1.0</v>
      </c>
    </row>
    <row r="53">
      <c r="A53" s="76" t="s">
        <v>3054</v>
      </c>
      <c r="B53" s="39" t="s">
        <v>1755</v>
      </c>
      <c r="C53" s="39" t="s">
        <v>3055</v>
      </c>
      <c r="D53" s="39" t="s">
        <v>2937</v>
      </c>
      <c r="E53" s="39" t="s">
        <v>2938</v>
      </c>
      <c r="F53" s="39" t="s">
        <v>64</v>
      </c>
      <c r="G53" s="39" t="s">
        <v>3056</v>
      </c>
      <c r="H53" s="39" t="s">
        <v>3056</v>
      </c>
      <c r="I53" s="40">
        <v>44.5578</v>
      </c>
      <c r="L53" s="39" t="s">
        <v>2940</v>
      </c>
      <c r="N53" s="39" t="s">
        <v>81</v>
      </c>
      <c r="O53" s="39" t="s">
        <v>68</v>
      </c>
      <c r="Q53" s="39">
        <v>1.0</v>
      </c>
      <c r="R53" s="39">
        <v>0.0</v>
      </c>
      <c r="S53" s="39">
        <v>0.0</v>
      </c>
      <c r="T53" s="39">
        <v>0.0</v>
      </c>
      <c r="U53" s="39">
        <v>0.0</v>
      </c>
      <c r="X53" s="39">
        <v>0.0</v>
      </c>
      <c r="Y53" s="39">
        <v>2.0</v>
      </c>
      <c r="Z53" s="30" t="s">
        <v>3057</v>
      </c>
      <c r="AA53" s="30" t="s">
        <v>315</v>
      </c>
      <c r="AE53" s="39">
        <v>1.0</v>
      </c>
    </row>
    <row r="54">
      <c r="A54" s="76" t="s">
        <v>3058</v>
      </c>
      <c r="D54" s="39" t="s">
        <v>2937</v>
      </c>
      <c r="E54" s="39" t="s">
        <v>2938</v>
      </c>
      <c r="F54" s="39" t="s">
        <v>64</v>
      </c>
      <c r="G54" s="39" t="s">
        <v>3059</v>
      </c>
      <c r="H54" s="39" t="s">
        <v>3059</v>
      </c>
      <c r="I54" s="40">
        <v>45.4778</v>
      </c>
      <c r="L54" s="39" t="s">
        <v>102</v>
      </c>
      <c r="N54" s="39" t="s">
        <v>81</v>
      </c>
      <c r="O54" s="39" t="s">
        <v>68</v>
      </c>
      <c r="Q54" s="39">
        <v>1.0</v>
      </c>
      <c r="R54" s="39">
        <v>0.0</v>
      </c>
      <c r="S54" s="39">
        <v>0.0</v>
      </c>
      <c r="T54" s="39">
        <v>0.0</v>
      </c>
      <c r="U54" s="39">
        <v>1.0</v>
      </c>
      <c r="X54" s="39">
        <v>0.0</v>
      </c>
      <c r="Y54" s="39">
        <v>0.0</v>
      </c>
      <c r="AE54" s="39">
        <v>1.0</v>
      </c>
    </row>
    <row r="55">
      <c r="A55" s="76" t="s">
        <v>3060</v>
      </c>
      <c r="B55" s="39" t="s">
        <v>1755</v>
      </c>
      <c r="C55" s="39" t="s">
        <v>3055</v>
      </c>
      <c r="D55" s="39" t="s">
        <v>2937</v>
      </c>
      <c r="E55" s="39" t="s">
        <v>2938</v>
      </c>
      <c r="F55" s="39" t="s">
        <v>64</v>
      </c>
      <c r="G55" s="39" t="s">
        <v>3061</v>
      </c>
      <c r="H55" s="39" t="s">
        <v>3061</v>
      </c>
      <c r="I55" s="40">
        <v>46.37779999999999</v>
      </c>
      <c r="L55" s="39" t="s">
        <v>2940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X55" s="39">
        <v>0.0</v>
      </c>
      <c r="Y55" s="39">
        <v>0.0</v>
      </c>
      <c r="AE55" s="39">
        <v>1.0</v>
      </c>
    </row>
    <row r="56">
      <c r="A56" s="76" t="s">
        <v>3062</v>
      </c>
      <c r="D56" s="39" t="s">
        <v>2937</v>
      </c>
      <c r="E56" s="39" t="s">
        <v>2938</v>
      </c>
      <c r="F56" s="39" t="s">
        <v>64</v>
      </c>
      <c r="G56" s="39" t="s">
        <v>3063</v>
      </c>
      <c r="H56" s="39" t="s">
        <v>3063</v>
      </c>
      <c r="I56" s="40">
        <v>46.9678</v>
      </c>
      <c r="L56" s="39" t="s">
        <v>102</v>
      </c>
      <c r="N56" s="39" t="s">
        <v>119</v>
      </c>
      <c r="O56" s="39" t="s">
        <v>68</v>
      </c>
      <c r="Q56" s="39">
        <v>0.0</v>
      </c>
      <c r="R56" s="39">
        <v>1.0</v>
      </c>
      <c r="S56" s="39">
        <v>0.0</v>
      </c>
      <c r="T56" s="39">
        <v>0.0</v>
      </c>
      <c r="U56" s="39">
        <v>0.0</v>
      </c>
      <c r="X56" s="39">
        <v>0.0</v>
      </c>
      <c r="Y56" s="39">
        <v>0.0</v>
      </c>
      <c r="AE56" s="39">
        <v>1.0</v>
      </c>
    </row>
    <row r="57">
      <c r="A57" s="76" t="s">
        <v>3064</v>
      </c>
      <c r="B57" s="39" t="s">
        <v>343</v>
      </c>
      <c r="C57" s="39" t="s">
        <v>895</v>
      </c>
      <c r="D57" s="39" t="s">
        <v>2937</v>
      </c>
      <c r="E57" s="39" t="s">
        <v>2938</v>
      </c>
      <c r="F57" s="39" t="s">
        <v>64</v>
      </c>
      <c r="G57" s="39" t="s">
        <v>3065</v>
      </c>
      <c r="H57" s="39" t="s">
        <v>3065</v>
      </c>
      <c r="I57" s="40">
        <v>47.565799999999996</v>
      </c>
      <c r="L57" s="39" t="s">
        <v>2940</v>
      </c>
      <c r="N57" s="39" t="s">
        <v>119</v>
      </c>
      <c r="O57" s="39" t="s">
        <v>68</v>
      </c>
      <c r="Q57" s="39">
        <v>0.0</v>
      </c>
      <c r="R57" s="39">
        <v>1.0</v>
      </c>
      <c r="S57" s="39">
        <v>0.0</v>
      </c>
      <c r="T57" s="39">
        <v>0.0</v>
      </c>
      <c r="U57" s="39">
        <v>0.0</v>
      </c>
      <c r="X57" s="39">
        <v>0.0</v>
      </c>
      <c r="Y57" s="39">
        <v>0.0</v>
      </c>
      <c r="AE57" s="39">
        <v>1.0</v>
      </c>
    </row>
    <row r="58">
      <c r="A58" s="76" t="s">
        <v>3066</v>
      </c>
      <c r="B58" s="39" t="s">
        <v>343</v>
      </c>
      <c r="C58" s="39" t="s">
        <v>895</v>
      </c>
      <c r="D58" s="39" t="s">
        <v>2937</v>
      </c>
      <c r="E58" s="39" t="s">
        <v>2938</v>
      </c>
      <c r="F58" s="39" t="s">
        <v>64</v>
      </c>
      <c r="G58" s="39" t="s">
        <v>3067</v>
      </c>
      <c r="H58" s="39" t="s">
        <v>3067</v>
      </c>
      <c r="I58" s="40">
        <v>48.385799999999996</v>
      </c>
      <c r="L58" s="39" t="s">
        <v>2940</v>
      </c>
      <c r="N58" s="39" t="s">
        <v>67</v>
      </c>
      <c r="O58" s="39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X58" s="39">
        <v>1.0</v>
      </c>
      <c r="Y58" s="39">
        <v>0.0</v>
      </c>
      <c r="Z58" s="30" t="s">
        <v>3068</v>
      </c>
      <c r="AA58" s="30" t="s">
        <v>115</v>
      </c>
      <c r="AE58" s="39">
        <v>1.0</v>
      </c>
    </row>
    <row r="59">
      <c r="A59" s="76" t="s">
        <v>3069</v>
      </c>
      <c r="D59" s="39" t="s">
        <v>2937</v>
      </c>
      <c r="E59" s="39" t="s">
        <v>2938</v>
      </c>
      <c r="F59" s="39" t="s">
        <v>64</v>
      </c>
      <c r="G59" s="39" t="s">
        <v>3070</v>
      </c>
      <c r="H59" s="39" t="s">
        <v>3070</v>
      </c>
      <c r="I59" s="40">
        <v>49.068799999999996</v>
      </c>
      <c r="L59" s="39" t="s">
        <v>102</v>
      </c>
      <c r="N59" s="39" t="s">
        <v>119</v>
      </c>
      <c r="O59" s="39" t="s">
        <v>68</v>
      </c>
      <c r="Q59" s="39">
        <v>0.0</v>
      </c>
      <c r="R59" s="39">
        <v>1.0</v>
      </c>
      <c r="S59" s="39">
        <v>0.0</v>
      </c>
      <c r="T59" s="39">
        <v>0.0</v>
      </c>
      <c r="U59" s="39">
        <v>0.0</v>
      </c>
      <c r="X59" s="39">
        <v>0.0</v>
      </c>
      <c r="Y59" s="39">
        <v>0.0</v>
      </c>
      <c r="AE59" s="39">
        <v>1.0</v>
      </c>
    </row>
    <row r="60">
      <c r="A60" s="76" t="s">
        <v>3071</v>
      </c>
      <c r="D60" s="39" t="s">
        <v>2937</v>
      </c>
      <c r="E60" s="39" t="s">
        <v>2938</v>
      </c>
      <c r="F60" s="39" t="s">
        <v>64</v>
      </c>
      <c r="G60" s="39" t="s">
        <v>3072</v>
      </c>
      <c r="H60" s="39" t="s">
        <v>3072</v>
      </c>
      <c r="I60" s="40">
        <v>49.72879999999999</v>
      </c>
      <c r="L60" s="39" t="s">
        <v>102</v>
      </c>
      <c r="N60" s="39" t="s">
        <v>67</v>
      </c>
      <c r="O60" s="39" t="s">
        <v>68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X60" s="39">
        <v>0.0</v>
      </c>
      <c r="Y60" s="39">
        <v>0.0</v>
      </c>
      <c r="AE60" s="39">
        <v>1.0</v>
      </c>
    </row>
    <row r="61">
      <c r="A61" s="76" t="s">
        <v>3073</v>
      </c>
      <c r="D61" s="39" t="s">
        <v>2937</v>
      </c>
      <c r="E61" s="39" t="s">
        <v>2938</v>
      </c>
      <c r="F61" s="39" t="s">
        <v>64</v>
      </c>
      <c r="G61" s="39" t="s">
        <v>3074</v>
      </c>
      <c r="H61" s="39" t="s">
        <v>3074</v>
      </c>
      <c r="I61" s="40">
        <v>50.4388</v>
      </c>
      <c r="L61" s="39" t="s">
        <v>102</v>
      </c>
      <c r="N61" s="39" t="s">
        <v>119</v>
      </c>
      <c r="O61" s="39" t="s">
        <v>68</v>
      </c>
      <c r="Q61" s="39">
        <v>0.0</v>
      </c>
      <c r="R61" s="39">
        <v>1.0</v>
      </c>
      <c r="S61" s="39">
        <v>0.0</v>
      </c>
      <c r="T61" s="39">
        <v>0.0</v>
      </c>
      <c r="U61" s="39">
        <v>0.0</v>
      </c>
      <c r="X61" s="39">
        <v>0.0</v>
      </c>
      <c r="Y61" s="39">
        <v>0.0</v>
      </c>
      <c r="AE61" s="39">
        <v>1.0</v>
      </c>
    </row>
    <row r="62">
      <c r="A62" s="76" t="s">
        <v>3075</v>
      </c>
      <c r="D62" s="39" t="s">
        <v>2937</v>
      </c>
      <c r="E62" s="39" t="s">
        <v>2938</v>
      </c>
      <c r="F62" s="39" t="s">
        <v>64</v>
      </c>
      <c r="G62" s="39" t="s">
        <v>3076</v>
      </c>
      <c r="H62" s="39" t="s">
        <v>3076</v>
      </c>
      <c r="I62" s="39">
        <v>51.0368</v>
      </c>
      <c r="L62" s="39" t="s">
        <v>102</v>
      </c>
      <c r="N62" s="39" t="s">
        <v>119</v>
      </c>
      <c r="O62" s="39" t="s">
        <v>68</v>
      </c>
      <c r="Q62" s="39">
        <v>0.0</v>
      </c>
      <c r="R62" s="39">
        <v>1.0</v>
      </c>
      <c r="S62" s="39">
        <v>0.0</v>
      </c>
      <c r="T62" s="39">
        <v>0.0</v>
      </c>
      <c r="U62" s="39">
        <v>0.0</v>
      </c>
      <c r="X62" s="39">
        <v>0.0</v>
      </c>
      <c r="Y62" s="39">
        <v>0.0</v>
      </c>
      <c r="AE62" s="39">
        <v>1.0</v>
      </c>
    </row>
    <row r="63">
      <c r="A63" s="76" t="s">
        <v>3077</v>
      </c>
      <c r="B63" s="39" t="s">
        <v>360</v>
      </c>
      <c r="C63" s="39" t="s">
        <v>361</v>
      </c>
      <c r="D63" s="39" t="s">
        <v>2937</v>
      </c>
      <c r="E63" s="39" t="s">
        <v>2938</v>
      </c>
      <c r="F63" s="39" t="s">
        <v>64</v>
      </c>
      <c r="G63" s="39" t="s">
        <v>3078</v>
      </c>
      <c r="H63" s="39" t="s">
        <v>3078</v>
      </c>
      <c r="I63" s="39">
        <v>51.3588</v>
      </c>
      <c r="L63" s="39" t="s">
        <v>2940</v>
      </c>
      <c r="N63" s="39" t="s">
        <v>119</v>
      </c>
      <c r="O63" s="39" t="s">
        <v>68</v>
      </c>
      <c r="Q63" s="39">
        <v>0.0</v>
      </c>
      <c r="R63" s="39">
        <v>1.0</v>
      </c>
      <c r="S63" s="39">
        <v>0.0</v>
      </c>
      <c r="T63" s="39">
        <v>0.0</v>
      </c>
      <c r="U63" s="39">
        <v>0.0</v>
      </c>
      <c r="X63" s="39">
        <v>0.0</v>
      </c>
      <c r="Y63" s="39">
        <v>1.0</v>
      </c>
      <c r="Z63" s="30" t="s">
        <v>3079</v>
      </c>
      <c r="AA63" s="30" t="s">
        <v>97</v>
      </c>
      <c r="AE63" s="39">
        <v>1.0</v>
      </c>
    </row>
    <row r="64">
      <c r="A64" s="76" t="s">
        <v>3080</v>
      </c>
      <c r="B64" s="39" t="s">
        <v>360</v>
      </c>
      <c r="C64" s="39" t="s">
        <v>361</v>
      </c>
      <c r="D64" s="39" t="s">
        <v>2937</v>
      </c>
      <c r="E64" s="39" t="s">
        <v>2938</v>
      </c>
      <c r="F64" s="39" t="s">
        <v>64</v>
      </c>
      <c r="G64" s="39" t="s">
        <v>3081</v>
      </c>
      <c r="H64" s="39" t="s">
        <v>3081</v>
      </c>
      <c r="I64" s="39">
        <v>52.0418</v>
      </c>
      <c r="L64" s="39" t="s">
        <v>2940</v>
      </c>
      <c r="N64" s="39" t="s">
        <v>81</v>
      </c>
      <c r="O64" s="39" t="s">
        <v>68</v>
      </c>
      <c r="Q64" s="39">
        <v>1.0</v>
      </c>
      <c r="R64" s="39">
        <v>0.0</v>
      </c>
      <c r="S64" s="39">
        <v>0.0</v>
      </c>
      <c r="T64" s="39">
        <v>0.0</v>
      </c>
      <c r="U64" s="39">
        <v>0.0</v>
      </c>
      <c r="X64" s="39">
        <v>3.0</v>
      </c>
      <c r="Y64" s="39">
        <v>0.0</v>
      </c>
      <c r="Z64" s="30" t="s">
        <v>3082</v>
      </c>
      <c r="AA64" s="30" t="s">
        <v>83</v>
      </c>
      <c r="AE64" s="39">
        <v>1.0</v>
      </c>
    </row>
    <row r="65">
      <c r="A65" s="76" t="s">
        <v>3083</v>
      </c>
      <c r="B65" s="39" t="s">
        <v>360</v>
      </c>
      <c r="C65" s="39" t="s">
        <v>361</v>
      </c>
      <c r="D65" s="39" t="s">
        <v>2937</v>
      </c>
      <c r="E65" s="39" t="s">
        <v>2938</v>
      </c>
      <c r="F65" s="39" t="s">
        <v>64</v>
      </c>
      <c r="G65" s="39" t="s">
        <v>3084</v>
      </c>
      <c r="H65" s="39" t="s">
        <v>3084</v>
      </c>
      <c r="I65" s="39">
        <v>52.7018</v>
      </c>
      <c r="L65" s="39" t="s">
        <v>2940</v>
      </c>
      <c r="N65" s="39" t="s">
        <v>81</v>
      </c>
      <c r="O65" s="39" t="s">
        <v>68</v>
      </c>
      <c r="Q65" s="39">
        <v>1.0</v>
      </c>
      <c r="R65" s="39">
        <v>0.0</v>
      </c>
      <c r="S65" s="39">
        <v>0.0</v>
      </c>
      <c r="T65" s="39">
        <v>0.0</v>
      </c>
      <c r="U65" s="39">
        <v>0.0</v>
      </c>
      <c r="X65" s="39">
        <v>0.0</v>
      </c>
      <c r="Y65" s="39">
        <v>1.0</v>
      </c>
      <c r="Z65" s="30" t="s">
        <v>3085</v>
      </c>
      <c r="AA65" s="30" t="s">
        <v>97</v>
      </c>
      <c r="AE65" s="39">
        <v>1.0</v>
      </c>
    </row>
    <row r="66">
      <c r="A66" s="77"/>
    </row>
    <row r="67">
      <c r="A67" s="78"/>
    </row>
    <row r="68">
      <c r="A68" s="78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2937</v>
      </c>
      <c r="B2" s="39" t="s">
        <v>2938</v>
      </c>
      <c r="C2" s="39" t="s">
        <v>64</v>
      </c>
      <c r="D2" s="39" t="s">
        <v>3086</v>
      </c>
      <c r="E2" s="39" t="s">
        <v>3087</v>
      </c>
      <c r="H2" s="39">
        <v>50.0</v>
      </c>
      <c r="O2" s="39" t="s">
        <v>3088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  <row r="2">
      <c r="A2" s="39" t="s">
        <v>3089</v>
      </c>
    </row>
    <row r="3">
      <c r="A3" s="39" t="s">
        <v>262</v>
      </c>
    </row>
    <row r="4">
      <c r="A4" s="39" t="s">
        <v>360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412</v>
      </c>
      <c r="B2" s="39" t="s">
        <v>360</v>
      </c>
      <c r="C2" s="39" t="s">
        <v>361</v>
      </c>
      <c r="D2" s="39" t="s">
        <v>3090</v>
      </c>
      <c r="E2" s="39" t="s">
        <v>3091</v>
      </c>
      <c r="F2" s="39" t="s">
        <v>397</v>
      </c>
      <c r="G2" s="39" t="s">
        <v>3092</v>
      </c>
      <c r="I2" s="39">
        <v>52.448</v>
      </c>
      <c r="L2" s="39" t="s">
        <v>2940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X2" s="39">
        <v>0.0</v>
      </c>
      <c r="Y2" s="39">
        <v>1.0</v>
      </c>
      <c r="Z2" s="30" t="s">
        <v>3093</v>
      </c>
      <c r="AA2" s="30" t="s">
        <v>97</v>
      </c>
      <c r="AE2" s="39">
        <v>1.0</v>
      </c>
    </row>
    <row r="3">
      <c r="A3" s="39" t="s">
        <v>3094</v>
      </c>
      <c r="B3" s="39" t="s">
        <v>360</v>
      </c>
      <c r="C3" s="39" t="s">
        <v>361</v>
      </c>
      <c r="D3" s="39" t="s">
        <v>3090</v>
      </c>
      <c r="E3" s="39" t="s">
        <v>3091</v>
      </c>
      <c r="F3" s="39" t="s">
        <v>397</v>
      </c>
      <c r="G3" s="39" t="s">
        <v>3095</v>
      </c>
      <c r="I3" s="40">
        <v>52.449</v>
      </c>
      <c r="L3" s="39" t="s">
        <v>2940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X3" s="39">
        <v>1.0</v>
      </c>
      <c r="Y3" s="39">
        <v>1.0</v>
      </c>
      <c r="Z3" s="30" t="s">
        <v>3096</v>
      </c>
      <c r="AA3" s="30" t="s">
        <v>70</v>
      </c>
      <c r="AE3" s="39">
        <v>1.0</v>
      </c>
    </row>
    <row r="4">
      <c r="A4" s="39" t="s">
        <v>665</v>
      </c>
      <c r="B4" s="39" t="s">
        <v>360</v>
      </c>
      <c r="C4" s="39" t="s">
        <v>361</v>
      </c>
      <c r="D4" s="39" t="s">
        <v>3090</v>
      </c>
      <c r="E4" s="39" t="s">
        <v>3091</v>
      </c>
      <c r="F4" s="39" t="s">
        <v>397</v>
      </c>
      <c r="G4" s="39" t="s">
        <v>3097</v>
      </c>
      <c r="H4" s="39" t="s">
        <v>3097</v>
      </c>
      <c r="I4" s="40">
        <v>51.784</v>
      </c>
      <c r="L4" s="39" t="s">
        <v>2940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X4" s="39">
        <v>0.0</v>
      </c>
      <c r="Y4" s="39">
        <v>2.0</v>
      </c>
      <c r="Z4" s="30" t="s">
        <v>3098</v>
      </c>
      <c r="AA4" s="30" t="s">
        <v>315</v>
      </c>
      <c r="AE4" s="39">
        <v>1.0</v>
      </c>
    </row>
    <row r="5">
      <c r="A5" s="39" t="s">
        <v>3099</v>
      </c>
      <c r="D5" s="39" t="s">
        <v>3090</v>
      </c>
      <c r="E5" s="39" t="s">
        <v>3091</v>
      </c>
      <c r="F5" s="39" t="s">
        <v>397</v>
      </c>
      <c r="G5" s="39" t="s">
        <v>3100</v>
      </c>
      <c r="H5" s="39" t="s">
        <v>3100</v>
      </c>
      <c r="I5" s="40">
        <v>50.909</v>
      </c>
      <c r="L5" s="39" t="s">
        <v>102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X5" s="39">
        <v>0.0</v>
      </c>
      <c r="Y5" s="39">
        <v>0.0</v>
      </c>
      <c r="AE5" s="39">
        <v>1.0</v>
      </c>
    </row>
    <row r="6">
      <c r="A6" s="39" t="s">
        <v>3101</v>
      </c>
      <c r="D6" s="39" t="s">
        <v>3090</v>
      </c>
      <c r="E6" s="39" t="s">
        <v>3091</v>
      </c>
      <c r="F6" s="39" t="s">
        <v>397</v>
      </c>
      <c r="G6" s="39" t="s">
        <v>3102</v>
      </c>
      <c r="H6" s="39" t="s">
        <v>3102</v>
      </c>
      <c r="I6" s="40">
        <v>50.009</v>
      </c>
      <c r="L6" s="39" t="s">
        <v>102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X6" s="39">
        <v>0.0</v>
      </c>
      <c r="Y6" s="39">
        <v>0.0</v>
      </c>
      <c r="AE6" s="39">
        <v>1.0</v>
      </c>
    </row>
    <row r="7">
      <c r="A7" s="39" t="s">
        <v>3103</v>
      </c>
      <c r="D7" s="39" t="s">
        <v>3090</v>
      </c>
      <c r="E7" s="39" t="s">
        <v>3091</v>
      </c>
      <c r="F7" s="39" t="s">
        <v>397</v>
      </c>
      <c r="G7" s="39" t="s">
        <v>3104</v>
      </c>
      <c r="H7" s="39" t="s">
        <v>3104</v>
      </c>
      <c r="I7" s="40">
        <v>49.108999999999995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X7" s="39">
        <v>0.0</v>
      </c>
      <c r="Y7" s="39">
        <v>0.0</v>
      </c>
      <c r="AE7" s="39">
        <v>1.0</v>
      </c>
    </row>
    <row r="8">
      <c r="A8" s="39" t="s">
        <v>3105</v>
      </c>
      <c r="D8" s="39" t="s">
        <v>3090</v>
      </c>
      <c r="E8" s="39" t="s">
        <v>3091</v>
      </c>
      <c r="F8" s="39" t="s">
        <v>397</v>
      </c>
      <c r="G8" s="39" t="s">
        <v>3106</v>
      </c>
      <c r="H8" s="39" t="s">
        <v>3106</v>
      </c>
      <c r="I8" s="40">
        <v>48.288999999999994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X8" s="39">
        <v>0.0</v>
      </c>
      <c r="Y8" s="39">
        <v>0.0</v>
      </c>
      <c r="AE8" s="39">
        <v>1.0</v>
      </c>
    </row>
    <row r="9">
      <c r="A9" s="39" t="s">
        <v>3107</v>
      </c>
      <c r="B9" s="39" t="s">
        <v>343</v>
      </c>
      <c r="C9" s="39" t="s">
        <v>895</v>
      </c>
      <c r="D9" s="39" t="s">
        <v>3090</v>
      </c>
      <c r="E9" s="39" t="s">
        <v>3091</v>
      </c>
      <c r="F9" s="39" t="s">
        <v>397</v>
      </c>
      <c r="G9" s="39" t="s">
        <v>3108</v>
      </c>
      <c r="H9" s="39" t="s">
        <v>3108</v>
      </c>
      <c r="I9" s="40">
        <v>47.373999999999995</v>
      </c>
      <c r="L9" s="39" t="s">
        <v>2940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X9" s="39">
        <v>0.0</v>
      </c>
      <c r="Y9" s="39">
        <v>0.0</v>
      </c>
      <c r="AE9" s="39">
        <v>1.0</v>
      </c>
    </row>
    <row r="10">
      <c r="A10" s="39" t="s">
        <v>3109</v>
      </c>
      <c r="B10" s="39" t="s">
        <v>343</v>
      </c>
      <c r="C10" s="39" t="s">
        <v>895</v>
      </c>
      <c r="D10" s="39" t="s">
        <v>3090</v>
      </c>
      <c r="E10" s="39" t="s">
        <v>3091</v>
      </c>
      <c r="F10" s="39" t="s">
        <v>397</v>
      </c>
      <c r="G10" s="39" t="s">
        <v>3110</v>
      </c>
      <c r="H10" s="39" t="s">
        <v>3110</v>
      </c>
      <c r="I10" s="40">
        <v>46.544</v>
      </c>
      <c r="L10" s="39" t="s">
        <v>2940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X10" s="39">
        <v>1.0</v>
      </c>
      <c r="Y10" s="39">
        <v>0.0</v>
      </c>
      <c r="Z10" s="30" t="s">
        <v>3111</v>
      </c>
      <c r="AA10" s="30" t="s">
        <v>115</v>
      </c>
      <c r="AE10" s="39">
        <v>1.0</v>
      </c>
    </row>
    <row r="11">
      <c r="A11" s="39" t="s">
        <v>3112</v>
      </c>
      <c r="D11" s="39" t="s">
        <v>3090</v>
      </c>
      <c r="E11" s="39" t="s">
        <v>3091</v>
      </c>
      <c r="F11" s="39" t="s">
        <v>397</v>
      </c>
      <c r="G11" s="39" t="s">
        <v>3113</v>
      </c>
      <c r="H11" s="39" t="s">
        <v>3113</v>
      </c>
      <c r="I11" s="40">
        <v>45.909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1.0</v>
      </c>
      <c r="X11" s="39">
        <v>0.0</v>
      </c>
      <c r="Y11" s="39">
        <v>0.0</v>
      </c>
      <c r="AE11" s="39">
        <v>1.0</v>
      </c>
    </row>
    <row r="12">
      <c r="A12" s="39" t="s">
        <v>3114</v>
      </c>
      <c r="B12" s="39" t="s">
        <v>1755</v>
      </c>
      <c r="C12" s="39" t="s">
        <v>3115</v>
      </c>
      <c r="D12" s="39" t="s">
        <v>3090</v>
      </c>
      <c r="E12" s="39" t="s">
        <v>3091</v>
      </c>
      <c r="F12" s="39" t="s">
        <v>397</v>
      </c>
      <c r="G12" s="39" t="s">
        <v>3116</v>
      </c>
      <c r="H12" s="39" t="s">
        <v>3116</v>
      </c>
      <c r="I12" s="40">
        <v>45.544</v>
      </c>
      <c r="L12" s="39" t="s">
        <v>2940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X12" s="39">
        <v>2.0</v>
      </c>
      <c r="Y12" s="39">
        <v>0.0</v>
      </c>
      <c r="Z12" s="30" t="s">
        <v>3117</v>
      </c>
      <c r="AA12" s="30" t="s">
        <v>78</v>
      </c>
      <c r="AE12" s="39">
        <v>1.0</v>
      </c>
    </row>
    <row r="13">
      <c r="A13" s="39" t="s">
        <v>3118</v>
      </c>
      <c r="B13" s="39" t="s">
        <v>1755</v>
      </c>
      <c r="C13" s="39" t="s">
        <v>3115</v>
      </c>
      <c r="D13" s="39" t="s">
        <v>3090</v>
      </c>
      <c r="E13" s="39" t="s">
        <v>3091</v>
      </c>
      <c r="F13" s="39" t="s">
        <v>397</v>
      </c>
      <c r="G13" s="39" t="s">
        <v>3119</v>
      </c>
      <c r="H13" s="39" t="s">
        <v>3119</v>
      </c>
      <c r="I13" s="40">
        <v>44.744</v>
      </c>
      <c r="L13" s="39" t="s">
        <v>2940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X13" s="39">
        <v>0.0</v>
      </c>
      <c r="Y13" s="39">
        <v>0.0</v>
      </c>
      <c r="AE13" s="39">
        <v>1.0</v>
      </c>
    </row>
    <row r="14">
      <c r="A14" s="39" t="s">
        <v>3120</v>
      </c>
      <c r="B14" s="39" t="s">
        <v>1755</v>
      </c>
      <c r="C14" s="39" t="s">
        <v>3115</v>
      </c>
      <c r="D14" s="39" t="s">
        <v>3090</v>
      </c>
      <c r="E14" s="39" t="s">
        <v>3091</v>
      </c>
      <c r="F14" s="39" t="s">
        <v>397</v>
      </c>
      <c r="G14" s="39" t="s">
        <v>3121</v>
      </c>
      <c r="H14" s="39" t="s">
        <v>3121</v>
      </c>
      <c r="I14" s="40">
        <v>44.174</v>
      </c>
      <c r="L14" s="39" t="s">
        <v>2940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X14" s="39">
        <v>0.0</v>
      </c>
      <c r="Y14" s="39">
        <v>0.0</v>
      </c>
      <c r="AE14" s="39">
        <v>1.0</v>
      </c>
    </row>
    <row r="15">
      <c r="A15" s="39" t="s">
        <v>3122</v>
      </c>
      <c r="B15" s="39" t="s">
        <v>1755</v>
      </c>
      <c r="C15" s="39" t="s">
        <v>3115</v>
      </c>
      <c r="D15" s="39" t="s">
        <v>3090</v>
      </c>
      <c r="E15" s="39" t="s">
        <v>3091</v>
      </c>
      <c r="F15" s="39" t="s">
        <v>397</v>
      </c>
      <c r="G15" s="39" t="s">
        <v>3123</v>
      </c>
      <c r="L15" s="39" t="s">
        <v>2940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X15" s="39">
        <v>0.0</v>
      </c>
      <c r="Y15" s="39">
        <v>0.0</v>
      </c>
      <c r="AE15" s="39">
        <v>1.0</v>
      </c>
    </row>
    <row r="16">
      <c r="A16" s="39" t="s">
        <v>3124</v>
      </c>
      <c r="D16" s="39" t="s">
        <v>3090</v>
      </c>
      <c r="E16" s="39" t="s">
        <v>3091</v>
      </c>
      <c r="F16" s="39" t="s">
        <v>397</v>
      </c>
      <c r="G16" s="39" t="s">
        <v>3125</v>
      </c>
      <c r="H16" s="39" t="s">
        <v>3125</v>
      </c>
      <c r="I16" s="40">
        <v>43.634</v>
      </c>
      <c r="L16" s="39" t="s">
        <v>102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X16" s="39">
        <v>0.0</v>
      </c>
      <c r="Y16" s="39">
        <v>0.0</v>
      </c>
      <c r="AE16" s="39">
        <v>1.0</v>
      </c>
    </row>
    <row r="17">
      <c r="A17" s="39" t="s">
        <v>3126</v>
      </c>
      <c r="B17" s="39" t="s">
        <v>872</v>
      </c>
      <c r="C17" s="39" t="s">
        <v>873</v>
      </c>
      <c r="D17" s="39" t="s">
        <v>3090</v>
      </c>
      <c r="E17" s="39" t="s">
        <v>3091</v>
      </c>
      <c r="F17" s="39" t="s">
        <v>397</v>
      </c>
      <c r="G17" s="39" t="s">
        <v>3127</v>
      </c>
      <c r="H17" s="39" t="s">
        <v>3127</v>
      </c>
      <c r="I17" s="40">
        <v>42.666</v>
      </c>
      <c r="L17" s="39" t="s">
        <v>2940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1.0</v>
      </c>
      <c r="X17" s="39">
        <v>2.0</v>
      </c>
      <c r="Y17" s="39">
        <v>0.0</v>
      </c>
      <c r="Z17" s="30" t="s">
        <v>3128</v>
      </c>
      <c r="AA17" s="30" t="s">
        <v>78</v>
      </c>
      <c r="AE17" s="39">
        <v>1.0</v>
      </c>
    </row>
    <row r="18">
      <c r="A18" s="39" t="s">
        <v>3129</v>
      </c>
      <c r="B18" s="39" t="s">
        <v>872</v>
      </c>
      <c r="C18" s="39" t="s">
        <v>873</v>
      </c>
      <c r="D18" s="39" t="s">
        <v>3090</v>
      </c>
      <c r="E18" s="39" t="s">
        <v>3091</v>
      </c>
      <c r="F18" s="39" t="s">
        <v>397</v>
      </c>
      <c r="G18" s="39" t="s">
        <v>76</v>
      </c>
      <c r="I18" s="40">
        <v>42.254999999999995</v>
      </c>
      <c r="L18" s="39" t="s">
        <v>2940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X18" s="39">
        <v>0.0</v>
      </c>
      <c r="Y18" s="39">
        <v>1.0</v>
      </c>
      <c r="Z18" s="30" t="s">
        <v>3130</v>
      </c>
      <c r="AA18" s="30" t="s">
        <v>97</v>
      </c>
      <c r="AE18" s="39">
        <v>1.0</v>
      </c>
    </row>
    <row r="19">
      <c r="A19" s="39" t="s">
        <v>3131</v>
      </c>
      <c r="B19" s="39" t="s">
        <v>872</v>
      </c>
      <c r="C19" s="39" t="s">
        <v>873</v>
      </c>
      <c r="D19" s="39" t="s">
        <v>3090</v>
      </c>
      <c r="E19" s="39" t="s">
        <v>3091</v>
      </c>
      <c r="F19" s="39" t="s">
        <v>397</v>
      </c>
      <c r="G19" s="39" t="s">
        <v>3132</v>
      </c>
      <c r="H19" s="39" t="s">
        <v>3132</v>
      </c>
      <c r="I19" s="40">
        <v>41.855</v>
      </c>
      <c r="L19" s="39" t="s">
        <v>2940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X19" s="39">
        <v>0.0</v>
      </c>
      <c r="Y19" s="39">
        <v>1.0</v>
      </c>
      <c r="Z19" s="30" t="s">
        <v>3133</v>
      </c>
      <c r="AA19" s="30" t="s">
        <v>97</v>
      </c>
      <c r="AE19" s="39">
        <v>1.0</v>
      </c>
    </row>
    <row r="20">
      <c r="A20" s="39" t="s">
        <v>3134</v>
      </c>
      <c r="B20" s="39" t="s">
        <v>872</v>
      </c>
      <c r="C20" s="39" t="s">
        <v>873</v>
      </c>
      <c r="D20" s="39" t="s">
        <v>3090</v>
      </c>
      <c r="E20" s="39" t="s">
        <v>3091</v>
      </c>
      <c r="F20" s="39" t="s">
        <v>397</v>
      </c>
      <c r="G20" s="39" t="s">
        <v>3135</v>
      </c>
      <c r="H20" s="39" t="s">
        <v>3135</v>
      </c>
      <c r="I20" s="40">
        <v>41.455</v>
      </c>
      <c r="L20" s="39" t="s">
        <v>2940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X20" s="39">
        <v>0.0</v>
      </c>
      <c r="Y20" s="39">
        <v>0.0</v>
      </c>
      <c r="AE20" s="39">
        <v>1.0</v>
      </c>
    </row>
    <row r="21">
      <c r="A21" s="39" t="s">
        <v>3136</v>
      </c>
      <c r="D21" s="39" t="s">
        <v>3090</v>
      </c>
      <c r="E21" s="39" t="s">
        <v>3091</v>
      </c>
      <c r="F21" s="39" t="s">
        <v>397</v>
      </c>
      <c r="G21" s="39" t="s">
        <v>3137</v>
      </c>
      <c r="H21" s="39" t="s">
        <v>3137</v>
      </c>
      <c r="I21" s="40">
        <v>41.055</v>
      </c>
      <c r="L21" s="39" t="s">
        <v>102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X21" s="39">
        <v>0.0</v>
      </c>
      <c r="Y21" s="39">
        <v>0.0</v>
      </c>
      <c r="AE21" s="39">
        <v>1.0</v>
      </c>
    </row>
    <row r="22">
      <c r="A22" s="39" t="s">
        <v>3138</v>
      </c>
      <c r="D22" s="39" t="s">
        <v>3090</v>
      </c>
      <c r="E22" s="39" t="s">
        <v>3091</v>
      </c>
      <c r="F22" s="39" t="s">
        <v>397</v>
      </c>
      <c r="G22" s="39" t="s">
        <v>3139</v>
      </c>
      <c r="H22" s="39" t="s">
        <v>3139</v>
      </c>
      <c r="I22" s="40">
        <v>38.806999999999995</v>
      </c>
      <c r="L22" s="39" t="s">
        <v>102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X22" s="39">
        <v>0.0</v>
      </c>
      <c r="Y22" s="39">
        <v>0.0</v>
      </c>
      <c r="AE22" s="39">
        <v>1.0</v>
      </c>
    </row>
    <row r="23">
      <c r="A23" s="39" t="s">
        <v>3140</v>
      </c>
      <c r="D23" s="39" t="s">
        <v>3090</v>
      </c>
      <c r="E23" s="39" t="s">
        <v>3091</v>
      </c>
      <c r="F23" s="39" t="s">
        <v>397</v>
      </c>
      <c r="G23" s="39" t="s">
        <v>3141</v>
      </c>
      <c r="H23" s="39" t="s">
        <v>3141</v>
      </c>
      <c r="I23" s="40">
        <v>37.625</v>
      </c>
      <c r="L23" s="39" t="s">
        <v>102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X23" s="39">
        <v>0.0</v>
      </c>
      <c r="Y23" s="39">
        <v>0.0</v>
      </c>
      <c r="AE23" s="39">
        <v>1.0</v>
      </c>
    </row>
    <row r="24">
      <c r="A24" s="39" t="s">
        <v>3142</v>
      </c>
      <c r="D24" s="39" t="s">
        <v>3090</v>
      </c>
      <c r="E24" s="39" t="s">
        <v>3091</v>
      </c>
      <c r="F24" s="39" t="s">
        <v>397</v>
      </c>
      <c r="G24" s="39" t="s">
        <v>3143</v>
      </c>
      <c r="H24" s="39" t="s">
        <v>3143</v>
      </c>
      <c r="I24" s="40">
        <v>37.224999999999994</v>
      </c>
      <c r="L24" s="39" t="s">
        <v>102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X24" s="39">
        <v>0.0</v>
      </c>
      <c r="Y24" s="39">
        <v>0.0</v>
      </c>
      <c r="AE24" s="39">
        <v>1.0</v>
      </c>
    </row>
    <row r="25">
      <c r="A25" s="39" t="s">
        <v>3144</v>
      </c>
      <c r="B25" s="39" t="s">
        <v>1597</v>
      </c>
      <c r="C25" s="39" t="s">
        <v>3145</v>
      </c>
      <c r="D25" s="39" t="s">
        <v>3090</v>
      </c>
      <c r="E25" s="39" t="s">
        <v>3091</v>
      </c>
      <c r="F25" s="39" t="s">
        <v>397</v>
      </c>
      <c r="G25" s="39" t="s">
        <v>3146</v>
      </c>
      <c r="H25" s="39" t="s">
        <v>3146</v>
      </c>
      <c r="I25" s="40">
        <v>36.839999999999996</v>
      </c>
      <c r="L25" s="39" t="s">
        <v>2940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X25" s="39">
        <v>1.0</v>
      </c>
      <c r="Y25" s="39">
        <v>0.0</v>
      </c>
      <c r="Z25" s="30" t="s">
        <v>3147</v>
      </c>
      <c r="AA25" s="30" t="s">
        <v>115</v>
      </c>
      <c r="AE25" s="39">
        <v>1.0</v>
      </c>
    </row>
    <row r="26">
      <c r="A26" s="39" t="s">
        <v>3148</v>
      </c>
      <c r="D26" s="39" t="s">
        <v>3090</v>
      </c>
      <c r="E26" s="39" t="s">
        <v>3091</v>
      </c>
      <c r="F26" s="39" t="s">
        <v>397</v>
      </c>
      <c r="G26" s="39" t="s">
        <v>3149</v>
      </c>
      <c r="H26" s="39" t="s">
        <v>3149</v>
      </c>
      <c r="I26" s="40">
        <v>36.489999999999995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X26" s="39">
        <v>0.0</v>
      </c>
      <c r="Y26" s="39">
        <v>0.0</v>
      </c>
      <c r="AE26" s="39">
        <v>1.0</v>
      </c>
    </row>
    <row r="27">
      <c r="A27" s="39" t="s">
        <v>3150</v>
      </c>
      <c r="B27" s="39" t="s">
        <v>1597</v>
      </c>
      <c r="C27" s="39" t="s">
        <v>3145</v>
      </c>
      <c r="D27" s="39" t="s">
        <v>3090</v>
      </c>
      <c r="E27" s="39" t="s">
        <v>3091</v>
      </c>
      <c r="F27" s="39" t="s">
        <v>397</v>
      </c>
      <c r="G27" s="39" t="s">
        <v>3151</v>
      </c>
      <c r="H27" s="39" t="s">
        <v>3151</v>
      </c>
      <c r="I27" s="40">
        <v>36.19</v>
      </c>
      <c r="L27" s="39" t="s">
        <v>2940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X27" s="39">
        <v>0.0</v>
      </c>
      <c r="Y27" s="39">
        <v>0.0</v>
      </c>
      <c r="AE27" s="39">
        <v>1.0</v>
      </c>
    </row>
    <row r="28">
      <c r="A28" s="39" t="s">
        <v>3152</v>
      </c>
      <c r="B28" s="39" t="s">
        <v>1597</v>
      </c>
      <c r="C28" s="39" t="s">
        <v>3145</v>
      </c>
      <c r="D28" s="39" t="s">
        <v>3090</v>
      </c>
      <c r="E28" s="39" t="s">
        <v>3091</v>
      </c>
      <c r="F28" s="39" t="s">
        <v>397</v>
      </c>
      <c r="G28" s="39" t="s">
        <v>3153</v>
      </c>
      <c r="H28" s="39" t="s">
        <v>3153</v>
      </c>
      <c r="I28" s="40">
        <v>35.79599999999999</v>
      </c>
      <c r="L28" s="39" t="s">
        <v>2940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X28" s="39">
        <v>0.0</v>
      </c>
      <c r="Y28" s="39">
        <v>0.0</v>
      </c>
      <c r="AE28" s="39">
        <v>1.0</v>
      </c>
    </row>
    <row r="29">
      <c r="A29" s="39" t="s">
        <v>3154</v>
      </c>
      <c r="D29" s="39" t="s">
        <v>3090</v>
      </c>
      <c r="E29" s="39" t="s">
        <v>3091</v>
      </c>
      <c r="F29" s="39" t="s">
        <v>397</v>
      </c>
      <c r="G29" s="39" t="s">
        <v>3155</v>
      </c>
      <c r="H29" s="39" t="s">
        <v>3155</v>
      </c>
      <c r="I29" s="40">
        <v>35.048</v>
      </c>
      <c r="L29" s="39" t="s">
        <v>102</v>
      </c>
      <c r="N29" s="39" t="s">
        <v>67</v>
      </c>
      <c r="O29" s="39" t="s">
        <v>68</v>
      </c>
      <c r="Q29" s="39">
        <v>0.0</v>
      </c>
      <c r="R29" s="39">
        <v>0.0</v>
      </c>
      <c r="S29" s="39">
        <v>1.0</v>
      </c>
      <c r="T29" s="39">
        <v>0.0</v>
      </c>
      <c r="U29" s="39">
        <v>1.0</v>
      </c>
      <c r="X29" s="39">
        <v>0.0</v>
      </c>
      <c r="Y29" s="39">
        <v>0.0</v>
      </c>
      <c r="AE29" s="39">
        <v>1.0</v>
      </c>
    </row>
    <row r="30">
      <c r="A30" s="39" t="s">
        <v>3156</v>
      </c>
      <c r="B30" s="39" t="s">
        <v>262</v>
      </c>
      <c r="C30" s="39" t="s">
        <v>263</v>
      </c>
      <c r="D30" s="39" t="s">
        <v>3090</v>
      </c>
      <c r="E30" s="39" t="s">
        <v>3091</v>
      </c>
      <c r="F30" s="39" t="s">
        <v>397</v>
      </c>
      <c r="G30" s="39" t="s">
        <v>3157</v>
      </c>
      <c r="H30" s="39" t="s">
        <v>3157</v>
      </c>
      <c r="I30" s="40">
        <v>34.503</v>
      </c>
      <c r="L30" s="39" t="s">
        <v>2940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X30" s="39">
        <v>0.0</v>
      </c>
      <c r="Y30" s="39">
        <v>0.0</v>
      </c>
      <c r="AE30" s="39">
        <v>1.0</v>
      </c>
    </row>
    <row r="31">
      <c r="A31" s="39" t="s">
        <v>3158</v>
      </c>
      <c r="B31" s="39" t="s">
        <v>262</v>
      </c>
      <c r="C31" s="39" t="s">
        <v>263</v>
      </c>
      <c r="D31" s="39" t="s">
        <v>3090</v>
      </c>
      <c r="E31" s="39" t="s">
        <v>3091</v>
      </c>
      <c r="F31" s="39" t="s">
        <v>397</v>
      </c>
      <c r="G31" s="39" t="s">
        <v>3159</v>
      </c>
      <c r="H31" s="39" t="s">
        <v>3159</v>
      </c>
      <c r="I31" s="40">
        <v>33.803</v>
      </c>
      <c r="L31" s="39" t="s">
        <v>2940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X31" s="39">
        <v>0.0</v>
      </c>
      <c r="Y31" s="39">
        <v>0.0</v>
      </c>
      <c r="AE31" s="39">
        <v>1.0</v>
      </c>
    </row>
    <row r="32">
      <c r="A32" s="39" t="s">
        <v>3160</v>
      </c>
      <c r="B32" s="39" t="s">
        <v>262</v>
      </c>
      <c r="C32" s="39" t="s">
        <v>263</v>
      </c>
      <c r="D32" s="39" t="s">
        <v>3090</v>
      </c>
      <c r="E32" s="39" t="s">
        <v>3091</v>
      </c>
      <c r="F32" s="39" t="s">
        <v>397</v>
      </c>
      <c r="G32" s="39" t="s">
        <v>3161</v>
      </c>
      <c r="H32" s="39" t="s">
        <v>3161</v>
      </c>
      <c r="I32" s="40">
        <v>33.202999999999996</v>
      </c>
      <c r="L32" s="39" t="s">
        <v>2940</v>
      </c>
      <c r="N32" s="39" t="s">
        <v>81</v>
      </c>
      <c r="O32" s="39" t="s">
        <v>68</v>
      </c>
      <c r="Q32" s="39">
        <v>1.0</v>
      </c>
      <c r="R32" s="39">
        <v>0.0</v>
      </c>
      <c r="S32" s="39">
        <v>0.0</v>
      </c>
      <c r="T32" s="39">
        <v>0.0</v>
      </c>
      <c r="U32" s="39">
        <v>1.0</v>
      </c>
      <c r="X32" s="39">
        <v>0.0</v>
      </c>
      <c r="Y32" s="39">
        <v>0.0</v>
      </c>
      <c r="AE32" s="39">
        <v>1.0</v>
      </c>
    </row>
    <row r="33">
      <c r="A33" s="39" t="s">
        <v>3162</v>
      </c>
      <c r="B33" s="39" t="s">
        <v>262</v>
      </c>
      <c r="C33" s="39" t="s">
        <v>263</v>
      </c>
      <c r="D33" s="39" t="s">
        <v>3090</v>
      </c>
      <c r="E33" s="39" t="s">
        <v>3091</v>
      </c>
      <c r="F33" s="39" t="s">
        <v>397</v>
      </c>
      <c r="G33" s="39" t="s">
        <v>3022</v>
      </c>
      <c r="I33" s="40">
        <v>32.553</v>
      </c>
      <c r="L33" s="39" t="s">
        <v>2940</v>
      </c>
      <c r="N33" s="39" t="s">
        <v>81</v>
      </c>
      <c r="O33" s="39" t="s">
        <v>68</v>
      </c>
      <c r="Q33" s="39">
        <v>1.0</v>
      </c>
      <c r="R33" s="39">
        <v>0.0</v>
      </c>
      <c r="S33" s="39">
        <v>0.0</v>
      </c>
      <c r="T33" s="39">
        <v>0.0</v>
      </c>
      <c r="U33" s="39">
        <v>0.0</v>
      </c>
      <c r="X33" s="39">
        <v>0.0</v>
      </c>
      <c r="Y33" s="39">
        <v>1.0</v>
      </c>
      <c r="Z33" s="30" t="s">
        <v>3163</v>
      </c>
      <c r="AA33" s="30" t="s">
        <v>97</v>
      </c>
      <c r="AE33" s="39">
        <v>1.0</v>
      </c>
    </row>
    <row r="34">
      <c r="A34" s="39" t="s">
        <v>3164</v>
      </c>
      <c r="D34" s="39" t="s">
        <v>3090</v>
      </c>
      <c r="E34" s="39" t="s">
        <v>3091</v>
      </c>
      <c r="F34" s="39" t="s">
        <v>397</v>
      </c>
      <c r="G34" s="39" t="s">
        <v>3165</v>
      </c>
      <c r="H34" s="39" t="s">
        <v>3165</v>
      </c>
      <c r="I34" s="40">
        <v>31.807999999999996</v>
      </c>
      <c r="L34" s="39" t="s">
        <v>102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X34" s="39">
        <v>0.0</v>
      </c>
      <c r="Y34" s="39">
        <v>0.0</v>
      </c>
      <c r="AE34" s="39">
        <v>1.0</v>
      </c>
    </row>
    <row r="35">
      <c r="A35" s="39" t="s">
        <v>3166</v>
      </c>
      <c r="D35" s="39" t="s">
        <v>3090</v>
      </c>
      <c r="E35" s="39" t="s">
        <v>3091</v>
      </c>
      <c r="F35" s="39" t="s">
        <v>397</v>
      </c>
      <c r="G35" s="39" t="s">
        <v>3167</v>
      </c>
      <c r="H35" s="39" t="s">
        <v>3167</v>
      </c>
      <c r="I35" s="40">
        <v>31.142999999999997</v>
      </c>
      <c r="L35" s="39" t="s">
        <v>102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X35" s="39">
        <v>0.0</v>
      </c>
      <c r="Y35" s="39">
        <v>0.0</v>
      </c>
      <c r="AE35" s="39">
        <v>1.0</v>
      </c>
    </row>
    <row r="36">
      <c r="A36" s="39" t="s">
        <v>3168</v>
      </c>
      <c r="D36" s="39" t="s">
        <v>3090</v>
      </c>
      <c r="E36" s="39" t="s">
        <v>3091</v>
      </c>
      <c r="F36" s="39" t="s">
        <v>397</v>
      </c>
      <c r="G36" s="39" t="s">
        <v>3169</v>
      </c>
      <c r="H36" s="39" t="s">
        <v>3169</v>
      </c>
      <c r="I36" s="40">
        <v>30.542999999999996</v>
      </c>
      <c r="L36" s="39" t="s">
        <v>102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1.0</v>
      </c>
      <c r="X36" s="39">
        <v>0.0</v>
      </c>
      <c r="Y36" s="39">
        <v>0.0</v>
      </c>
      <c r="AE36" s="39">
        <v>1.0</v>
      </c>
    </row>
    <row r="37">
      <c r="A37" s="39" t="s">
        <v>3170</v>
      </c>
      <c r="B37" s="39" t="s">
        <v>252</v>
      </c>
      <c r="C37" s="39" t="s">
        <v>253</v>
      </c>
      <c r="D37" s="39" t="s">
        <v>3090</v>
      </c>
      <c r="E37" s="39" t="s">
        <v>3091</v>
      </c>
      <c r="F37" s="39" t="s">
        <v>397</v>
      </c>
      <c r="G37" s="39" t="s">
        <v>3171</v>
      </c>
      <c r="H37" s="39" t="s">
        <v>3171</v>
      </c>
      <c r="I37" s="40">
        <v>29.877999999999997</v>
      </c>
      <c r="L37" s="39" t="s">
        <v>2940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X37" s="39">
        <v>1.0</v>
      </c>
      <c r="Y37" s="39">
        <v>0.0</v>
      </c>
      <c r="Z37" s="30" t="s">
        <v>3172</v>
      </c>
      <c r="AA37" s="30" t="s">
        <v>115</v>
      </c>
      <c r="AE37" s="39">
        <v>1.0</v>
      </c>
    </row>
    <row r="38">
      <c r="A38" s="39" t="s">
        <v>3173</v>
      </c>
      <c r="B38" s="39" t="s">
        <v>252</v>
      </c>
      <c r="C38" s="39" t="s">
        <v>253</v>
      </c>
      <c r="D38" s="39" t="s">
        <v>3090</v>
      </c>
      <c r="E38" s="39" t="s">
        <v>3091</v>
      </c>
      <c r="F38" s="39" t="s">
        <v>397</v>
      </c>
      <c r="G38" s="39" t="s">
        <v>3174</v>
      </c>
      <c r="I38" s="40">
        <v>29.037999999999997</v>
      </c>
      <c r="L38" s="39" t="s">
        <v>2940</v>
      </c>
      <c r="N38" s="39" t="s">
        <v>81</v>
      </c>
      <c r="O38" s="39" t="s">
        <v>68</v>
      </c>
      <c r="Q38" s="39">
        <v>1.0</v>
      </c>
      <c r="R38" s="39">
        <v>0.0</v>
      </c>
      <c r="S38" s="39">
        <v>0.0</v>
      </c>
      <c r="T38" s="39">
        <v>0.0</v>
      </c>
      <c r="U38" s="39">
        <v>0.0</v>
      </c>
      <c r="X38" s="39">
        <v>1.0</v>
      </c>
      <c r="Y38" s="39">
        <v>0.0</v>
      </c>
      <c r="Z38" s="30" t="s">
        <v>3175</v>
      </c>
      <c r="AA38" s="30" t="s">
        <v>115</v>
      </c>
      <c r="AE38" s="39">
        <v>1.0</v>
      </c>
    </row>
    <row r="39">
      <c r="A39" s="39" t="s">
        <v>3176</v>
      </c>
      <c r="D39" s="39" t="s">
        <v>3090</v>
      </c>
      <c r="E39" s="39" t="s">
        <v>3091</v>
      </c>
      <c r="F39" s="39" t="s">
        <v>397</v>
      </c>
      <c r="G39" s="39" t="s">
        <v>3177</v>
      </c>
      <c r="H39" s="39" t="s">
        <v>3177</v>
      </c>
      <c r="I39" s="40">
        <v>28.592999999999996</v>
      </c>
      <c r="L39" s="39" t="s">
        <v>102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1.0</v>
      </c>
      <c r="X39" s="39">
        <v>0.0</v>
      </c>
      <c r="Y39" s="39">
        <v>0.0</v>
      </c>
      <c r="AE39" s="39">
        <v>1.0</v>
      </c>
    </row>
    <row r="40">
      <c r="A40" s="39" t="s">
        <v>3178</v>
      </c>
      <c r="B40" s="39" t="s">
        <v>2996</v>
      </c>
      <c r="C40" s="39" t="s">
        <v>2997</v>
      </c>
      <c r="D40" s="39" t="s">
        <v>3090</v>
      </c>
      <c r="E40" s="39" t="s">
        <v>3091</v>
      </c>
      <c r="F40" s="39" t="s">
        <v>397</v>
      </c>
      <c r="G40" s="39" t="s">
        <v>3179</v>
      </c>
      <c r="H40" s="39" t="s">
        <v>3179</v>
      </c>
      <c r="I40" s="40">
        <v>28.042999999999996</v>
      </c>
      <c r="L40" s="39" t="s">
        <v>2940</v>
      </c>
      <c r="N40" s="39" t="s">
        <v>67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X40" s="39">
        <v>0.0</v>
      </c>
      <c r="Y40" s="39">
        <v>0.0</v>
      </c>
      <c r="AE40" s="39">
        <v>1.0</v>
      </c>
    </row>
    <row r="41">
      <c r="A41" s="39" t="s">
        <v>3180</v>
      </c>
      <c r="B41" s="39" t="s">
        <v>236</v>
      </c>
      <c r="C41" s="39" t="s">
        <v>237</v>
      </c>
      <c r="D41" s="39" t="s">
        <v>3090</v>
      </c>
      <c r="E41" s="39" t="s">
        <v>3091</v>
      </c>
      <c r="F41" s="39" t="s">
        <v>397</v>
      </c>
      <c r="G41" s="39" t="s">
        <v>3181</v>
      </c>
      <c r="H41" s="39" t="s">
        <v>3181</v>
      </c>
      <c r="I41" s="40">
        <v>27.342999999999996</v>
      </c>
      <c r="L41" s="39" t="s">
        <v>2940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X41" s="39">
        <v>0.0</v>
      </c>
      <c r="Y41" s="39">
        <v>0.0</v>
      </c>
      <c r="AE41" s="39">
        <v>1.0</v>
      </c>
    </row>
    <row r="42">
      <c r="A42" s="39" t="s">
        <v>3182</v>
      </c>
      <c r="B42" s="39" t="s">
        <v>236</v>
      </c>
      <c r="C42" s="39" t="s">
        <v>237</v>
      </c>
      <c r="D42" s="39" t="s">
        <v>3090</v>
      </c>
      <c r="E42" s="39" t="s">
        <v>3091</v>
      </c>
      <c r="F42" s="39" t="s">
        <v>397</v>
      </c>
      <c r="G42" s="39" t="s">
        <v>3183</v>
      </c>
      <c r="H42" s="39" t="s">
        <v>3183</v>
      </c>
      <c r="I42" s="40">
        <v>26.667799999999996</v>
      </c>
      <c r="L42" s="39" t="s">
        <v>2940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1.0</v>
      </c>
      <c r="X42" s="39">
        <v>0.0</v>
      </c>
      <c r="Y42" s="39">
        <v>1.0</v>
      </c>
      <c r="Z42" s="30" t="s">
        <v>2989</v>
      </c>
      <c r="AA42" s="30" t="s">
        <v>97</v>
      </c>
      <c r="AE42" s="39">
        <v>1.0</v>
      </c>
    </row>
    <row r="43">
      <c r="A43" s="39" t="s">
        <v>3184</v>
      </c>
      <c r="B43" s="39" t="s">
        <v>236</v>
      </c>
      <c r="C43" s="39" t="s">
        <v>237</v>
      </c>
      <c r="D43" s="39" t="s">
        <v>3090</v>
      </c>
      <c r="E43" s="39" t="s">
        <v>3091</v>
      </c>
      <c r="F43" s="39" t="s">
        <v>397</v>
      </c>
      <c r="G43" s="39" t="s">
        <v>1691</v>
      </c>
      <c r="L43" s="39" t="s">
        <v>2940</v>
      </c>
      <c r="N43" s="39" t="s">
        <v>67</v>
      </c>
      <c r="O43" s="39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X43" s="39">
        <v>0.0</v>
      </c>
      <c r="Y43" s="39">
        <v>0.0</v>
      </c>
      <c r="AE43" s="39">
        <v>1.0</v>
      </c>
    </row>
    <row r="44">
      <c r="A44" s="39" t="s">
        <v>3185</v>
      </c>
      <c r="B44" s="39" t="s">
        <v>236</v>
      </c>
      <c r="C44" s="39" t="s">
        <v>237</v>
      </c>
      <c r="D44" s="39" t="s">
        <v>3090</v>
      </c>
      <c r="E44" s="39" t="s">
        <v>3091</v>
      </c>
      <c r="F44" s="39" t="s">
        <v>397</v>
      </c>
      <c r="G44" s="39" t="s">
        <v>3186</v>
      </c>
      <c r="H44" s="39" t="s">
        <v>3186</v>
      </c>
      <c r="I44" s="40">
        <v>26.050799999999995</v>
      </c>
      <c r="L44" s="39" t="s">
        <v>2940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X44" s="39">
        <v>0.0</v>
      </c>
      <c r="Y44" s="39">
        <v>0.0</v>
      </c>
      <c r="AE44" s="39">
        <v>1.0</v>
      </c>
    </row>
    <row r="45">
      <c r="A45" s="39" t="s">
        <v>3187</v>
      </c>
      <c r="B45" s="39" t="s">
        <v>236</v>
      </c>
      <c r="C45" s="39" t="s">
        <v>237</v>
      </c>
      <c r="D45" s="39" t="s">
        <v>3090</v>
      </c>
      <c r="E45" s="39" t="s">
        <v>3091</v>
      </c>
      <c r="F45" s="39" t="s">
        <v>397</v>
      </c>
      <c r="G45" s="39" t="s">
        <v>3188</v>
      </c>
      <c r="H45" s="39" t="s">
        <v>3188</v>
      </c>
      <c r="I45" s="39">
        <v>25.591</v>
      </c>
      <c r="L45" s="39" t="s">
        <v>2940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X45" s="39">
        <v>1.0</v>
      </c>
      <c r="Y45" s="39">
        <v>0.0</v>
      </c>
      <c r="Z45" s="30" t="s">
        <v>3189</v>
      </c>
      <c r="AA45" s="30" t="s">
        <v>115</v>
      </c>
      <c r="AE45" s="39">
        <v>1.0</v>
      </c>
    </row>
    <row r="46">
      <c r="A46" s="39" t="s">
        <v>3190</v>
      </c>
      <c r="D46" s="39" t="s">
        <v>3090</v>
      </c>
      <c r="E46" s="39" t="s">
        <v>3091</v>
      </c>
      <c r="F46" s="39" t="s">
        <v>397</v>
      </c>
      <c r="G46" s="39" t="s">
        <v>3191</v>
      </c>
      <c r="H46" s="39" t="s">
        <v>3191</v>
      </c>
      <c r="I46" s="40">
        <v>25.570799999999995</v>
      </c>
      <c r="L46" s="39" t="s">
        <v>102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X46" s="39">
        <v>0.0</v>
      </c>
      <c r="Y46" s="39">
        <v>0.0</v>
      </c>
      <c r="AE46" s="39">
        <v>1.0</v>
      </c>
    </row>
    <row r="47">
      <c r="A47" s="39" t="s">
        <v>3192</v>
      </c>
      <c r="D47" s="39" t="s">
        <v>3090</v>
      </c>
      <c r="E47" s="39" t="s">
        <v>3091</v>
      </c>
      <c r="F47" s="39" t="s">
        <v>397</v>
      </c>
      <c r="G47" s="39" t="s">
        <v>3193</v>
      </c>
      <c r="H47" s="39" t="s">
        <v>3193</v>
      </c>
      <c r="I47" s="40">
        <v>24.870799999999996</v>
      </c>
      <c r="L47" s="39" t="s">
        <v>102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X47" s="39">
        <v>0.0</v>
      </c>
      <c r="Y47" s="39">
        <v>0.0</v>
      </c>
      <c r="AE47" s="39">
        <v>1.0</v>
      </c>
    </row>
    <row r="48">
      <c r="A48" s="39" t="s">
        <v>3194</v>
      </c>
      <c r="B48" s="39" t="s">
        <v>215</v>
      </c>
      <c r="C48" s="39" t="s">
        <v>216</v>
      </c>
      <c r="D48" s="39" t="s">
        <v>3090</v>
      </c>
      <c r="E48" s="39" t="s">
        <v>3091</v>
      </c>
      <c r="F48" s="39" t="s">
        <v>397</v>
      </c>
      <c r="G48" s="39" t="s">
        <v>3195</v>
      </c>
      <c r="H48" s="39" t="s">
        <v>3195</v>
      </c>
      <c r="I48" s="40">
        <v>24.170799999999996</v>
      </c>
      <c r="L48" s="39" t="s">
        <v>2940</v>
      </c>
      <c r="N48" s="39" t="s">
        <v>67</v>
      </c>
      <c r="O48" s="39" t="s">
        <v>68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X48" s="39">
        <v>0.0</v>
      </c>
      <c r="Y48" s="39">
        <v>1.0</v>
      </c>
      <c r="Z48" s="30" t="s">
        <v>3196</v>
      </c>
      <c r="AA48" s="30" t="s">
        <v>115</v>
      </c>
      <c r="AE48" s="39">
        <v>1.0</v>
      </c>
    </row>
    <row r="49">
      <c r="A49" s="39" t="s">
        <v>3197</v>
      </c>
      <c r="D49" s="39" t="s">
        <v>3090</v>
      </c>
      <c r="E49" s="39" t="s">
        <v>3091</v>
      </c>
      <c r="F49" s="39" t="s">
        <v>397</v>
      </c>
      <c r="G49" s="39" t="s">
        <v>3198</v>
      </c>
      <c r="H49" s="39" t="s">
        <v>3198</v>
      </c>
      <c r="I49" s="40">
        <v>23.470799999999997</v>
      </c>
      <c r="L49" s="39" t="s">
        <v>102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X49" s="39">
        <v>0.0</v>
      </c>
      <c r="Y49" s="39">
        <v>0.0</v>
      </c>
      <c r="AE49" s="39">
        <v>1.0</v>
      </c>
    </row>
    <row r="50">
      <c r="A50" s="39" t="s">
        <v>3199</v>
      </c>
      <c r="D50" s="39" t="s">
        <v>3090</v>
      </c>
      <c r="E50" s="39" t="s">
        <v>3091</v>
      </c>
      <c r="F50" s="39" t="s">
        <v>397</v>
      </c>
      <c r="G50" s="39" t="s">
        <v>3200</v>
      </c>
      <c r="H50" s="39" t="s">
        <v>3200</v>
      </c>
      <c r="I50" s="40">
        <v>22.675799999999995</v>
      </c>
      <c r="L50" s="39" t="s">
        <v>102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X50" s="39">
        <v>0.0</v>
      </c>
      <c r="Y50" s="39">
        <v>0.0</v>
      </c>
      <c r="AE50" s="39">
        <v>1.0</v>
      </c>
    </row>
    <row r="51">
      <c r="A51" s="39" t="s">
        <v>3201</v>
      </c>
      <c r="D51" s="39" t="s">
        <v>3090</v>
      </c>
      <c r="E51" s="39" t="s">
        <v>3091</v>
      </c>
      <c r="F51" s="39" t="s">
        <v>397</v>
      </c>
      <c r="G51" s="39" t="s">
        <v>3202</v>
      </c>
      <c r="H51" s="39" t="s">
        <v>3202</v>
      </c>
      <c r="I51" s="40">
        <v>21.865799999999997</v>
      </c>
      <c r="L51" s="39" t="s">
        <v>102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X51" s="39">
        <v>0.0</v>
      </c>
      <c r="Y51" s="39">
        <v>0.0</v>
      </c>
      <c r="AE51" s="39">
        <v>1.0</v>
      </c>
    </row>
    <row r="52">
      <c r="A52" s="39" t="s">
        <v>3203</v>
      </c>
      <c r="D52" s="39" t="s">
        <v>3090</v>
      </c>
      <c r="E52" s="39" t="s">
        <v>3091</v>
      </c>
      <c r="F52" s="39" t="s">
        <v>397</v>
      </c>
      <c r="G52" s="39" t="s">
        <v>3204</v>
      </c>
      <c r="H52" s="39" t="s">
        <v>3204</v>
      </c>
      <c r="I52" s="40">
        <v>21.305799999999998</v>
      </c>
      <c r="L52" s="39" t="s">
        <v>102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X52" s="39">
        <v>0.0</v>
      </c>
      <c r="Y52" s="39">
        <v>0.0</v>
      </c>
      <c r="AE52" s="39">
        <v>1.0</v>
      </c>
    </row>
    <row r="53">
      <c r="A53" s="39" t="s">
        <v>3205</v>
      </c>
      <c r="B53" s="39" t="s">
        <v>559</v>
      </c>
      <c r="C53" s="39" t="s">
        <v>756</v>
      </c>
      <c r="D53" s="39" t="s">
        <v>3090</v>
      </c>
      <c r="E53" s="39" t="s">
        <v>3091</v>
      </c>
      <c r="F53" s="39" t="s">
        <v>397</v>
      </c>
      <c r="G53" s="39" t="s">
        <v>3206</v>
      </c>
      <c r="H53" s="39" t="s">
        <v>3206</v>
      </c>
      <c r="I53" s="40">
        <v>20.895799999999994</v>
      </c>
      <c r="L53" s="39" t="s">
        <v>2940</v>
      </c>
      <c r="N53" s="39" t="s">
        <v>67</v>
      </c>
      <c r="O53" s="39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X53" s="39">
        <v>0.0</v>
      </c>
      <c r="Y53" s="39">
        <v>0.0</v>
      </c>
      <c r="AE53" s="39">
        <v>1.0</v>
      </c>
    </row>
    <row r="54">
      <c r="A54" s="39" t="s">
        <v>3207</v>
      </c>
      <c r="B54" s="39" t="s">
        <v>559</v>
      </c>
      <c r="C54" s="39" t="s">
        <v>756</v>
      </c>
      <c r="D54" s="39" t="s">
        <v>3090</v>
      </c>
      <c r="E54" s="39" t="s">
        <v>3091</v>
      </c>
      <c r="F54" s="39" t="s">
        <v>397</v>
      </c>
      <c r="G54" s="39" t="s">
        <v>3208</v>
      </c>
      <c r="H54" s="39" t="s">
        <v>3208</v>
      </c>
      <c r="L54" s="39" t="s">
        <v>2940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1.0</v>
      </c>
      <c r="X54" s="39">
        <v>0.0</v>
      </c>
      <c r="Y54" s="39">
        <v>1.0</v>
      </c>
      <c r="Z54" s="30" t="s">
        <v>3209</v>
      </c>
      <c r="AA54" s="30" t="s">
        <v>115</v>
      </c>
      <c r="AE54" s="39">
        <v>1.0</v>
      </c>
    </row>
    <row r="55">
      <c r="A55" s="39" t="s">
        <v>3210</v>
      </c>
      <c r="B55" s="39" t="s">
        <v>559</v>
      </c>
      <c r="C55" s="39" t="s">
        <v>756</v>
      </c>
      <c r="D55" s="39" t="s">
        <v>3090</v>
      </c>
      <c r="E55" s="39" t="s">
        <v>3091</v>
      </c>
      <c r="F55" s="39" t="s">
        <v>397</v>
      </c>
      <c r="G55" s="39" t="s">
        <v>3211</v>
      </c>
      <c r="H55" s="39" t="s">
        <v>3211</v>
      </c>
      <c r="L55" s="39" t="s">
        <v>2940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X55" s="39">
        <v>0.0</v>
      </c>
      <c r="Y55" s="39">
        <v>0.0</v>
      </c>
      <c r="AE55" s="39">
        <v>1.0</v>
      </c>
    </row>
    <row r="56">
      <c r="A56" s="39" t="s">
        <v>3212</v>
      </c>
      <c r="B56" s="39" t="s">
        <v>559</v>
      </c>
      <c r="C56" s="39" t="s">
        <v>756</v>
      </c>
      <c r="D56" s="39" t="s">
        <v>3090</v>
      </c>
      <c r="E56" s="39" t="s">
        <v>3091</v>
      </c>
      <c r="F56" s="39" t="s">
        <v>397</v>
      </c>
      <c r="G56" s="39" t="s">
        <v>1691</v>
      </c>
      <c r="L56" s="39" t="s">
        <v>2940</v>
      </c>
      <c r="N56" s="39" t="s">
        <v>119</v>
      </c>
      <c r="O56" s="39" t="s">
        <v>68</v>
      </c>
      <c r="Q56" s="39">
        <v>0.0</v>
      </c>
      <c r="R56" s="39">
        <v>1.0</v>
      </c>
      <c r="S56" s="39">
        <v>0.0</v>
      </c>
      <c r="T56" s="39">
        <v>0.0</v>
      </c>
      <c r="U56" s="39">
        <v>0.0</v>
      </c>
      <c r="X56" s="39">
        <v>0.0</v>
      </c>
      <c r="Y56" s="39">
        <v>0.0</v>
      </c>
      <c r="AE56" s="39">
        <v>1.0</v>
      </c>
    </row>
    <row r="57">
      <c r="A57" s="39" t="s">
        <v>3213</v>
      </c>
      <c r="B57" s="39" t="s">
        <v>559</v>
      </c>
      <c r="C57" s="39" t="s">
        <v>756</v>
      </c>
      <c r="D57" s="39" t="s">
        <v>3090</v>
      </c>
      <c r="E57" s="39" t="s">
        <v>3091</v>
      </c>
      <c r="F57" s="39" t="s">
        <v>397</v>
      </c>
      <c r="G57" s="39" t="s">
        <v>3214</v>
      </c>
      <c r="H57" s="39" t="s">
        <v>3214</v>
      </c>
      <c r="L57" s="39" t="s">
        <v>2940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X57" s="39">
        <v>0.0</v>
      </c>
      <c r="Y57" s="39">
        <v>0.0</v>
      </c>
      <c r="AE57" s="39">
        <v>1.0</v>
      </c>
    </row>
    <row r="58">
      <c r="A58" s="39" t="s">
        <v>3215</v>
      </c>
      <c r="B58" s="39" t="s">
        <v>559</v>
      </c>
      <c r="C58" s="39" t="s">
        <v>756</v>
      </c>
      <c r="D58" s="39" t="s">
        <v>3090</v>
      </c>
      <c r="E58" s="39" t="s">
        <v>3091</v>
      </c>
      <c r="F58" s="39" t="s">
        <v>397</v>
      </c>
      <c r="G58" s="39" t="s">
        <v>3216</v>
      </c>
      <c r="H58" s="39" t="s">
        <v>3216</v>
      </c>
      <c r="L58" s="39" t="s">
        <v>2940</v>
      </c>
      <c r="N58" s="39" t="s">
        <v>67</v>
      </c>
      <c r="O58" s="39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X58" s="39">
        <v>3.0</v>
      </c>
      <c r="Y58" s="39">
        <v>2.0</v>
      </c>
      <c r="Z58" s="30" t="s">
        <v>3217</v>
      </c>
      <c r="AA58" s="30" t="s">
        <v>650</v>
      </c>
      <c r="AE58" s="39">
        <v>1.0</v>
      </c>
    </row>
    <row r="59">
      <c r="A59" s="39" t="s">
        <v>3218</v>
      </c>
      <c r="B59" s="39" t="s">
        <v>559</v>
      </c>
      <c r="C59" s="39" t="s">
        <v>756</v>
      </c>
      <c r="D59" s="39" t="s">
        <v>3090</v>
      </c>
      <c r="E59" s="39" t="s">
        <v>3091</v>
      </c>
      <c r="F59" s="39" t="s">
        <v>397</v>
      </c>
      <c r="G59" s="39" t="s">
        <v>3219</v>
      </c>
      <c r="L59" s="39" t="s">
        <v>2940</v>
      </c>
      <c r="N59" s="39" t="s">
        <v>81</v>
      </c>
      <c r="O59" s="39" t="s">
        <v>68</v>
      </c>
      <c r="Q59" s="39">
        <v>1.0</v>
      </c>
      <c r="R59" s="39">
        <v>0.0</v>
      </c>
      <c r="S59" s="39">
        <v>0.0</v>
      </c>
      <c r="T59" s="39">
        <v>0.0</v>
      </c>
      <c r="U59" s="39">
        <v>0.0</v>
      </c>
      <c r="X59" s="39">
        <v>1.0</v>
      </c>
      <c r="Y59" s="39">
        <v>1.0</v>
      </c>
      <c r="Z59" s="30" t="s">
        <v>3220</v>
      </c>
      <c r="AA59" s="30" t="s">
        <v>70</v>
      </c>
      <c r="AE59" s="39">
        <v>1.0</v>
      </c>
    </row>
    <row r="60">
      <c r="A60" s="39" t="s">
        <v>3221</v>
      </c>
      <c r="B60" s="39" t="s">
        <v>559</v>
      </c>
      <c r="C60" s="39" t="s">
        <v>756</v>
      </c>
      <c r="D60" s="39" t="s">
        <v>3090</v>
      </c>
      <c r="E60" s="39" t="s">
        <v>3091</v>
      </c>
      <c r="F60" s="39" t="s">
        <v>397</v>
      </c>
      <c r="G60" s="39" t="s">
        <v>3222</v>
      </c>
      <c r="L60" s="39" t="s">
        <v>2940</v>
      </c>
      <c r="N60" s="39" t="s">
        <v>81</v>
      </c>
      <c r="O60" s="39" t="s">
        <v>68</v>
      </c>
      <c r="Q60" s="39">
        <v>1.0</v>
      </c>
      <c r="R60" s="39">
        <v>0.0</v>
      </c>
      <c r="S60" s="39">
        <v>0.0</v>
      </c>
      <c r="T60" s="39">
        <v>0.0</v>
      </c>
      <c r="U60" s="39">
        <v>0.0</v>
      </c>
      <c r="X60" s="39">
        <v>1.0</v>
      </c>
      <c r="Y60" s="39">
        <v>1.0</v>
      </c>
      <c r="Z60" s="30" t="s">
        <v>3223</v>
      </c>
      <c r="AA60" s="30" t="s">
        <v>70</v>
      </c>
      <c r="AE60" s="39">
        <v>1.0</v>
      </c>
    </row>
    <row r="61">
      <c r="AE61" s="39">
        <v>1.0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3224</v>
      </c>
      <c r="B2" s="39" t="s">
        <v>3091</v>
      </c>
      <c r="C2" s="39" t="s">
        <v>397</v>
      </c>
      <c r="D2" s="39" t="s">
        <v>3225</v>
      </c>
      <c r="E2" s="39" t="s">
        <v>3226</v>
      </c>
      <c r="H2" s="39">
        <v>50.0</v>
      </c>
      <c r="O2" s="39" t="s">
        <v>3107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  <row r="2">
      <c r="A2" s="39" t="s">
        <v>360</v>
      </c>
    </row>
    <row r="3">
      <c r="A3" s="39" t="s">
        <v>262</v>
      </c>
    </row>
    <row r="4">
      <c r="A4" s="39" t="s">
        <v>3089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1682</v>
      </c>
      <c r="B2" s="39" t="s">
        <v>1417</v>
      </c>
      <c r="C2" s="39" t="s">
        <v>1418</v>
      </c>
      <c r="D2" s="39" t="s">
        <v>3227</v>
      </c>
      <c r="E2" s="39" t="s">
        <v>1684</v>
      </c>
      <c r="F2" s="39" t="s">
        <v>397</v>
      </c>
      <c r="G2" s="39" t="s">
        <v>76</v>
      </c>
      <c r="I2" s="40">
        <v>67.721</v>
      </c>
      <c r="L2" s="2"/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2">
        <v>0.0</v>
      </c>
      <c r="V2" s="32">
        <v>0.0</v>
      </c>
      <c r="W2" s="32">
        <v>0.0</v>
      </c>
      <c r="X2" s="32">
        <v>0.0</v>
      </c>
      <c r="Y2" s="32">
        <v>0.0</v>
      </c>
      <c r="AC2" s="39">
        <v>300.0</v>
      </c>
      <c r="AE2" s="39">
        <v>1.0</v>
      </c>
    </row>
    <row r="3">
      <c r="A3" s="39" t="s">
        <v>1686</v>
      </c>
      <c r="B3" s="39" t="s">
        <v>1417</v>
      </c>
      <c r="C3" s="39" t="s">
        <v>1418</v>
      </c>
      <c r="D3" s="39" t="s">
        <v>3227</v>
      </c>
      <c r="E3" s="39" t="s">
        <v>1684</v>
      </c>
      <c r="F3" s="39" t="s">
        <v>397</v>
      </c>
      <c r="G3" s="39" t="s">
        <v>80</v>
      </c>
      <c r="L3" s="2"/>
      <c r="N3" s="39" t="s">
        <v>81</v>
      </c>
      <c r="O3" s="39" t="s">
        <v>68</v>
      </c>
      <c r="Q3" s="39">
        <v>1.0</v>
      </c>
      <c r="R3" s="39">
        <v>0.0</v>
      </c>
      <c r="S3" s="39">
        <v>0.0</v>
      </c>
      <c r="T3" s="39">
        <v>0.0</v>
      </c>
      <c r="U3" s="22">
        <v>0.0</v>
      </c>
      <c r="V3" s="22">
        <v>0.0</v>
      </c>
      <c r="W3" s="22">
        <v>0.0</v>
      </c>
      <c r="X3" s="22">
        <v>0.0</v>
      </c>
      <c r="Y3" s="22">
        <v>0.0</v>
      </c>
      <c r="AE3" s="39">
        <v>1.0</v>
      </c>
    </row>
    <row r="4">
      <c r="A4" s="39" t="s">
        <v>1687</v>
      </c>
      <c r="B4" s="39" t="s">
        <v>1417</v>
      </c>
      <c r="C4" s="39" t="s">
        <v>1418</v>
      </c>
      <c r="D4" s="39" t="s">
        <v>3227</v>
      </c>
      <c r="E4" s="39" t="s">
        <v>1684</v>
      </c>
      <c r="F4" s="39" t="s">
        <v>397</v>
      </c>
      <c r="G4" s="39" t="s">
        <v>85</v>
      </c>
      <c r="L4" s="2"/>
      <c r="N4" s="39" t="s">
        <v>81</v>
      </c>
      <c r="O4" s="39" t="s">
        <v>68</v>
      </c>
      <c r="Q4" s="39">
        <v>1.0</v>
      </c>
      <c r="R4" s="39">
        <v>0.0</v>
      </c>
      <c r="S4" s="39">
        <v>0.0</v>
      </c>
      <c r="T4" s="39">
        <v>0.0</v>
      </c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AC4" s="39">
        <v>200.0</v>
      </c>
      <c r="AE4" s="39">
        <v>1.0</v>
      </c>
    </row>
    <row r="5">
      <c r="A5" s="39" t="s">
        <v>1688</v>
      </c>
      <c r="B5" s="39" t="s">
        <v>1417</v>
      </c>
      <c r="C5" s="39" t="s">
        <v>1418</v>
      </c>
      <c r="D5" s="39" t="s">
        <v>3227</v>
      </c>
      <c r="E5" s="39" t="s">
        <v>1684</v>
      </c>
      <c r="F5" s="39" t="s">
        <v>397</v>
      </c>
      <c r="G5" s="39" t="s">
        <v>1689</v>
      </c>
      <c r="L5" s="2"/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22">
        <v>0.0</v>
      </c>
      <c r="V5" s="22">
        <v>0.0</v>
      </c>
      <c r="W5" s="22">
        <v>0.0</v>
      </c>
      <c r="X5" s="22">
        <v>0.0</v>
      </c>
      <c r="Y5" s="22">
        <v>0.0</v>
      </c>
      <c r="AC5" s="39">
        <v>700.0</v>
      </c>
      <c r="AE5" s="39">
        <v>1.0</v>
      </c>
    </row>
    <row r="6">
      <c r="A6" s="39" t="s">
        <v>1690</v>
      </c>
      <c r="B6" s="39" t="s">
        <v>1417</v>
      </c>
      <c r="C6" s="39" t="s">
        <v>1418</v>
      </c>
      <c r="D6" s="39" t="s">
        <v>3227</v>
      </c>
      <c r="E6" s="39" t="s">
        <v>1684</v>
      </c>
      <c r="F6" s="39" t="s">
        <v>397</v>
      </c>
      <c r="G6" s="39" t="s">
        <v>1691</v>
      </c>
      <c r="L6" s="2"/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AE6" s="39">
        <v>1.0</v>
      </c>
    </row>
    <row r="7">
      <c r="A7" s="39" t="s">
        <v>1692</v>
      </c>
      <c r="B7" s="39" t="s">
        <v>1417</v>
      </c>
      <c r="C7" s="39" t="s">
        <v>1418</v>
      </c>
      <c r="D7" s="39" t="s">
        <v>3227</v>
      </c>
      <c r="E7" s="39" t="s">
        <v>1684</v>
      </c>
      <c r="F7" s="39" t="s">
        <v>397</v>
      </c>
      <c r="G7" s="39" t="s">
        <v>1693</v>
      </c>
      <c r="H7" s="39" t="s">
        <v>1693</v>
      </c>
      <c r="I7" s="40">
        <v>67.021</v>
      </c>
      <c r="L7" s="2" t="s">
        <v>66</v>
      </c>
      <c r="N7" s="39" t="s">
        <v>67</v>
      </c>
      <c r="O7" s="39" t="s">
        <v>81</v>
      </c>
      <c r="Q7" s="39">
        <v>0.0</v>
      </c>
      <c r="R7" s="39">
        <v>0.0</v>
      </c>
      <c r="S7" s="39">
        <v>1.0</v>
      </c>
      <c r="T7" s="39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AC7" s="39">
        <v>240.0</v>
      </c>
      <c r="AE7" s="39">
        <v>1.0</v>
      </c>
    </row>
    <row r="8">
      <c r="A8" s="39" t="s">
        <v>1694</v>
      </c>
      <c r="D8" s="39" t="s">
        <v>3227</v>
      </c>
      <c r="E8" s="39" t="s">
        <v>1684</v>
      </c>
      <c r="F8" s="39" t="s">
        <v>397</v>
      </c>
      <c r="G8" s="39" t="s">
        <v>1695</v>
      </c>
      <c r="H8" s="39" t="s">
        <v>1695</v>
      </c>
      <c r="I8" s="40">
        <v>66.021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AC8" s="39">
        <v>600.0</v>
      </c>
      <c r="AE8" s="39">
        <v>1.0</v>
      </c>
    </row>
    <row r="9">
      <c r="A9" s="39" t="s">
        <v>1696</v>
      </c>
      <c r="D9" s="39" t="s">
        <v>3227</v>
      </c>
      <c r="E9" s="39" t="s">
        <v>1684</v>
      </c>
      <c r="F9" s="39" t="s">
        <v>397</v>
      </c>
      <c r="G9" s="39" t="s">
        <v>1697</v>
      </c>
      <c r="H9" s="39" t="s">
        <v>1697</v>
      </c>
      <c r="I9" s="40">
        <v>64.921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AC9" s="39">
        <v>600.0</v>
      </c>
      <c r="AE9" s="39">
        <v>1.0</v>
      </c>
    </row>
    <row r="10">
      <c r="A10" s="39" t="s">
        <v>1698</v>
      </c>
      <c r="B10" s="39" t="s">
        <v>1699</v>
      </c>
      <c r="C10" s="39" t="s">
        <v>1700</v>
      </c>
      <c r="D10" s="39" t="s">
        <v>3227</v>
      </c>
      <c r="E10" s="39" t="s">
        <v>1684</v>
      </c>
      <c r="F10" s="39" t="s">
        <v>397</v>
      </c>
      <c r="G10" s="39" t="s">
        <v>1701</v>
      </c>
      <c r="H10" s="39" t="s">
        <v>1701</v>
      </c>
      <c r="I10" s="40">
        <v>63.921</v>
      </c>
      <c r="L10" s="30" t="s">
        <v>66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1.0</v>
      </c>
      <c r="W10" s="39">
        <v>0.0</v>
      </c>
      <c r="X10" s="39">
        <v>2.0</v>
      </c>
      <c r="Y10" s="39">
        <v>1.0</v>
      </c>
      <c r="Z10" s="39" t="s">
        <v>1702</v>
      </c>
      <c r="AA10" s="30" t="s">
        <v>1703</v>
      </c>
      <c r="AC10" s="39">
        <v>700.0</v>
      </c>
      <c r="AE10" s="39">
        <v>1.0</v>
      </c>
    </row>
    <row r="11">
      <c r="A11" s="39" t="s">
        <v>1704</v>
      </c>
      <c r="B11" s="39" t="s">
        <v>1699</v>
      </c>
      <c r="C11" s="39" t="s">
        <v>1700</v>
      </c>
      <c r="D11" s="39" t="s">
        <v>3227</v>
      </c>
      <c r="E11" s="39" t="s">
        <v>1684</v>
      </c>
      <c r="F11" s="39" t="s">
        <v>397</v>
      </c>
      <c r="G11" s="39" t="s">
        <v>1705</v>
      </c>
      <c r="H11" s="39" t="s">
        <v>1705</v>
      </c>
      <c r="I11" s="40">
        <v>62.621</v>
      </c>
      <c r="L11" s="2" t="s">
        <v>66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700.0</v>
      </c>
      <c r="AE11" s="39">
        <v>1.0</v>
      </c>
    </row>
    <row r="12">
      <c r="A12" s="39" t="s">
        <v>1706</v>
      </c>
      <c r="B12" s="39" t="s">
        <v>1699</v>
      </c>
      <c r="C12" s="39" t="s">
        <v>1700</v>
      </c>
      <c r="D12" s="39" t="s">
        <v>3227</v>
      </c>
      <c r="E12" s="39" t="s">
        <v>1684</v>
      </c>
      <c r="F12" s="39" t="s">
        <v>397</v>
      </c>
      <c r="G12" s="39" t="s">
        <v>1705</v>
      </c>
      <c r="H12" s="39" t="s">
        <v>1705</v>
      </c>
      <c r="L12" s="2"/>
      <c r="N12" s="39" t="s">
        <v>67</v>
      </c>
      <c r="O12" s="39" t="s">
        <v>81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300.0</v>
      </c>
      <c r="AE12" s="39">
        <v>1.0</v>
      </c>
    </row>
    <row r="13">
      <c r="A13" s="39" t="s">
        <v>1707</v>
      </c>
      <c r="B13" s="39" t="s">
        <v>1699</v>
      </c>
      <c r="C13" s="39" t="s">
        <v>1700</v>
      </c>
      <c r="D13" s="39" t="s">
        <v>3227</v>
      </c>
      <c r="E13" s="39" t="s">
        <v>1684</v>
      </c>
      <c r="F13" s="39" t="s">
        <v>397</v>
      </c>
      <c r="G13" s="39" t="s">
        <v>1705</v>
      </c>
      <c r="H13" s="39" t="s">
        <v>1705</v>
      </c>
      <c r="L13" s="2"/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E13" s="39">
        <v>1.0</v>
      </c>
    </row>
    <row r="14">
      <c r="A14" s="39" t="s">
        <v>1708</v>
      </c>
      <c r="B14" s="39" t="s">
        <v>1699</v>
      </c>
      <c r="C14" s="39" t="s">
        <v>1700</v>
      </c>
      <c r="D14" s="39" t="s">
        <v>3227</v>
      </c>
      <c r="E14" s="39" t="s">
        <v>1684</v>
      </c>
      <c r="F14" s="39" t="s">
        <v>397</v>
      </c>
      <c r="G14" s="39" t="s">
        <v>1709</v>
      </c>
      <c r="H14" s="39" t="s">
        <v>1709</v>
      </c>
      <c r="I14" s="40">
        <v>61.921</v>
      </c>
      <c r="L14" s="2" t="s">
        <v>66</v>
      </c>
      <c r="N14" s="39" t="s">
        <v>67</v>
      </c>
      <c r="O14" s="39" t="s">
        <v>67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400.0</v>
      </c>
      <c r="AE14" s="39">
        <v>1.0</v>
      </c>
    </row>
    <row r="15">
      <c r="A15" s="39" t="s">
        <v>1710</v>
      </c>
      <c r="B15" s="39" t="s">
        <v>1699</v>
      </c>
      <c r="C15" s="39" t="s">
        <v>1700</v>
      </c>
      <c r="D15" s="39" t="s">
        <v>3227</v>
      </c>
      <c r="E15" s="39" t="s">
        <v>1684</v>
      </c>
      <c r="F15" s="39" t="s">
        <v>397</v>
      </c>
      <c r="G15" s="39" t="s">
        <v>1711</v>
      </c>
      <c r="H15" s="39" t="s">
        <v>1711</v>
      </c>
      <c r="I15" s="40">
        <v>61.021</v>
      </c>
      <c r="L15" s="2" t="s">
        <v>66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650.0</v>
      </c>
      <c r="AE15" s="39">
        <v>1.0</v>
      </c>
    </row>
    <row r="16">
      <c r="A16" s="39" t="s">
        <v>1712</v>
      </c>
      <c r="D16" s="39" t="s">
        <v>3227</v>
      </c>
      <c r="E16" s="39" t="s">
        <v>1684</v>
      </c>
      <c r="F16" s="39" t="s">
        <v>397</v>
      </c>
      <c r="G16" s="39" t="s">
        <v>1713</v>
      </c>
      <c r="H16" s="39" t="s">
        <v>1713</v>
      </c>
      <c r="I16" s="40">
        <v>60.021</v>
      </c>
      <c r="L16" s="39" t="s">
        <v>102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700.0</v>
      </c>
      <c r="AE16" s="39">
        <v>1.0</v>
      </c>
    </row>
    <row r="17">
      <c r="A17" s="39" t="s">
        <v>1714</v>
      </c>
      <c r="D17" s="39" t="s">
        <v>3227</v>
      </c>
      <c r="E17" s="39" t="s">
        <v>1684</v>
      </c>
      <c r="F17" s="39" t="s">
        <v>397</v>
      </c>
      <c r="G17" s="39" t="s">
        <v>1715</v>
      </c>
      <c r="H17" s="39" t="s">
        <v>1715</v>
      </c>
      <c r="I17" s="40">
        <v>59.121</v>
      </c>
      <c r="L17" s="39" t="s">
        <v>1716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650.0</v>
      </c>
      <c r="AE17" s="39">
        <v>1.0</v>
      </c>
    </row>
    <row r="18">
      <c r="A18" s="39" t="s">
        <v>1717</v>
      </c>
      <c r="B18" s="39" t="s">
        <v>1718</v>
      </c>
      <c r="C18" s="39" t="s">
        <v>1719</v>
      </c>
      <c r="D18" s="39" t="s">
        <v>3227</v>
      </c>
      <c r="E18" s="39" t="s">
        <v>1684</v>
      </c>
      <c r="F18" s="39" t="s">
        <v>397</v>
      </c>
      <c r="G18" s="39" t="s">
        <v>1720</v>
      </c>
      <c r="H18" s="39" t="s">
        <v>1720</v>
      </c>
      <c r="I18" s="40">
        <v>57.921</v>
      </c>
      <c r="L18" s="2"/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1.0</v>
      </c>
      <c r="W18" s="39">
        <v>0.0</v>
      </c>
      <c r="X18" s="39">
        <v>1.0</v>
      </c>
      <c r="Y18" s="39">
        <v>1.0</v>
      </c>
      <c r="Z18" s="39" t="s">
        <v>1721</v>
      </c>
      <c r="AA18" s="30" t="s">
        <v>411</v>
      </c>
      <c r="AC18" s="39">
        <v>450.0</v>
      </c>
      <c r="AE18" s="39">
        <v>1.0</v>
      </c>
    </row>
    <row r="19">
      <c r="A19" s="39" t="s">
        <v>1722</v>
      </c>
      <c r="B19" s="39" t="s">
        <v>1718</v>
      </c>
      <c r="C19" s="39" t="s">
        <v>1719</v>
      </c>
      <c r="D19" s="39" t="s">
        <v>3227</v>
      </c>
      <c r="E19" s="39" t="s">
        <v>1684</v>
      </c>
      <c r="F19" s="39" t="s">
        <v>397</v>
      </c>
      <c r="G19" s="39" t="s">
        <v>1723</v>
      </c>
      <c r="H19" s="39" t="s">
        <v>1723</v>
      </c>
      <c r="I19" s="40">
        <v>56.721000000000004</v>
      </c>
      <c r="L19" s="2" t="s">
        <v>66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1000.0</v>
      </c>
      <c r="AE19" s="39">
        <v>1.0</v>
      </c>
    </row>
    <row r="20">
      <c r="A20" s="39" t="s">
        <v>1724</v>
      </c>
      <c r="B20" s="39" t="s">
        <v>1718</v>
      </c>
      <c r="C20" s="39" t="s">
        <v>1719</v>
      </c>
      <c r="D20" s="39" t="s">
        <v>3227</v>
      </c>
      <c r="E20" s="39" t="s">
        <v>1684</v>
      </c>
      <c r="F20" s="39" t="s">
        <v>397</v>
      </c>
      <c r="G20" s="39" t="s">
        <v>1723</v>
      </c>
      <c r="H20" s="39" t="s">
        <v>1723</v>
      </c>
      <c r="L20" s="2"/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1.0</v>
      </c>
      <c r="X20" s="39">
        <v>0.0</v>
      </c>
      <c r="Y20" s="39">
        <v>0.0</v>
      </c>
      <c r="AC20" s="39">
        <v>400.0</v>
      </c>
      <c r="AE20" s="39">
        <v>1.0</v>
      </c>
    </row>
    <row r="21">
      <c r="A21" s="39" t="s">
        <v>1725</v>
      </c>
      <c r="B21" s="39" t="s">
        <v>1718</v>
      </c>
      <c r="C21" s="39" t="s">
        <v>1719</v>
      </c>
      <c r="D21" s="39" t="s">
        <v>3227</v>
      </c>
      <c r="E21" s="39" t="s">
        <v>1684</v>
      </c>
      <c r="F21" s="39" t="s">
        <v>397</v>
      </c>
      <c r="G21" s="39" t="s">
        <v>1723</v>
      </c>
      <c r="H21" s="39" t="s">
        <v>1723</v>
      </c>
      <c r="L21" s="2"/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E21" s="39">
        <v>1.0</v>
      </c>
    </row>
    <row r="22">
      <c r="A22" s="39" t="s">
        <v>1726</v>
      </c>
      <c r="B22" s="39" t="s">
        <v>1718</v>
      </c>
      <c r="C22" s="39" t="s">
        <v>1719</v>
      </c>
      <c r="D22" s="39" t="s">
        <v>3227</v>
      </c>
      <c r="E22" s="39" t="s">
        <v>1684</v>
      </c>
      <c r="F22" s="39" t="s">
        <v>397</v>
      </c>
      <c r="G22" s="39" t="s">
        <v>1727</v>
      </c>
      <c r="H22" s="39" t="s">
        <v>1727</v>
      </c>
      <c r="I22" s="40">
        <v>56.121</v>
      </c>
      <c r="L22" s="2"/>
      <c r="N22" s="39" t="s">
        <v>67</v>
      </c>
      <c r="O22" s="39" t="s">
        <v>81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550.0</v>
      </c>
      <c r="AE22" s="39">
        <v>1.0</v>
      </c>
    </row>
    <row r="23">
      <c r="A23" s="39" t="s">
        <v>1728</v>
      </c>
      <c r="B23" s="39" t="s">
        <v>1718</v>
      </c>
      <c r="C23" s="39" t="s">
        <v>1719</v>
      </c>
      <c r="D23" s="39" t="s">
        <v>3227</v>
      </c>
      <c r="E23" s="39" t="s">
        <v>1684</v>
      </c>
      <c r="F23" s="39" t="s">
        <v>397</v>
      </c>
      <c r="G23" s="39" t="s">
        <v>1729</v>
      </c>
      <c r="H23" s="39" t="s">
        <v>1729</v>
      </c>
      <c r="I23" s="40">
        <v>55.221000000000004</v>
      </c>
      <c r="L23" s="2" t="s">
        <v>66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450.0</v>
      </c>
      <c r="AE23" s="39">
        <v>1.0</v>
      </c>
    </row>
    <row r="24">
      <c r="A24" s="39" t="s">
        <v>1730</v>
      </c>
      <c r="D24" s="39" t="s">
        <v>3227</v>
      </c>
      <c r="E24" s="39" t="s">
        <v>1684</v>
      </c>
      <c r="F24" s="39" t="s">
        <v>397</v>
      </c>
      <c r="G24" s="39" t="s">
        <v>1731</v>
      </c>
      <c r="H24" s="39" t="s">
        <v>1731</v>
      </c>
      <c r="I24" s="40">
        <v>54.121</v>
      </c>
      <c r="L24" s="39" t="s">
        <v>102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650.0</v>
      </c>
      <c r="AE24" s="39">
        <v>1.0</v>
      </c>
    </row>
    <row r="25">
      <c r="A25" s="39" t="s">
        <v>1732</v>
      </c>
      <c r="D25" s="39" t="s">
        <v>3227</v>
      </c>
      <c r="E25" s="39" t="s">
        <v>1684</v>
      </c>
      <c r="F25" s="39" t="s">
        <v>397</v>
      </c>
      <c r="G25" s="39" t="s">
        <v>1733</v>
      </c>
      <c r="H25" s="39" t="s">
        <v>1733</v>
      </c>
      <c r="I25" s="40">
        <v>53.121</v>
      </c>
      <c r="L25" s="39" t="s">
        <v>1716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350.0</v>
      </c>
      <c r="AE25" s="39">
        <v>1.0</v>
      </c>
    </row>
    <row r="26">
      <c r="A26" s="39" t="s">
        <v>1734</v>
      </c>
      <c r="D26" s="39" t="s">
        <v>3227</v>
      </c>
      <c r="E26" s="39" t="s">
        <v>1684</v>
      </c>
      <c r="F26" s="39" t="s">
        <v>397</v>
      </c>
      <c r="G26" s="39" t="s">
        <v>1735</v>
      </c>
      <c r="H26" s="39" t="s">
        <v>1735</v>
      </c>
      <c r="I26" s="40">
        <v>52.221000000000004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600.0</v>
      </c>
      <c r="AE26" s="39">
        <v>1.0</v>
      </c>
    </row>
    <row r="27">
      <c r="A27" s="39" t="s">
        <v>1736</v>
      </c>
      <c r="D27" s="39" t="s">
        <v>3227</v>
      </c>
      <c r="E27" s="39" t="s">
        <v>1684</v>
      </c>
      <c r="F27" s="39" t="s">
        <v>397</v>
      </c>
      <c r="G27" s="39" t="s">
        <v>1737</v>
      </c>
      <c r="H27" s="39" t="s">
        <v>1737</v>
      </c>
      <c r="I27" s="40">
        <v>51.421</v>
      </c>
      <c r="L27" s="39" t="s">
        <v>102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550.0</v>
      </c>
      <c r="AE27" s="39">
        <v>1.0</v>
      </c>
    </row>
    <row r="28">
      <c r="A28" s="39" t="s">
        <v>1738</v>
      </c>
      <c r="D28" s="39" t="s">
        <v>3227</v>
      </c>
      <c r="E28" s="39" t="s">
        <v>1684</v>
      </c>
      <c r="F28" s="39" t="s">
        <v>397</v>
      </c>
      <c r="G28" s="39" t="s">
        <v>1739</v>
      </c>
      <c r="H28" s="39" t="s">
        <v>1739</v>
      </c>
      <c r="I28" s="40">
        <v>50.421</v>
      </c>
      <c r="L28" s="39" t="s">
        <v>102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500.0</v>
      </c>
      <c r="AE28" s="39">
        <v>1.0</v>
      </c>
    </row>
    <row r="29">
      <c r="A29" s="39" t="s">
        <v>1740</v>
      </c>
      <c r="B29" s="39" t="s">
        <v>1741</v>
      </c>
      <c r="C29" s="39" t="s">
        <v>1742</v>
      </c>
      <c r="D29" s="39" t="s">
        <v>3227</v>
      </c>
      <c r="E29" s="39" t="s">
        <v>1684</v>
      </c>
      <c r="F29" s="39" t="s">
        <v>397</v>
      </c>
      <c r="G29" s="39" t="s">
        <v>1743</v>
      </c>
      <c r="H29" s="39" t="s">
        <v>1743</v>
      </c>
      <c r="I29" s="40">
        <v>49.421</v>
      </c>
      <c r="L29" s="2" t="s">
        <v>66</v>
      </c>
      <c r="N29" s="39" t="s">
        <v>67</v>
      </c>
      <c r="O29" s="39" t="s">
        <v>67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1.0</v>
      </c>
      <c r="W29" s="39">
        <v>0.0</v>
      </c>
      <c r="X29" s="39">
        <v>1.0</v>
      </c>
      <c r="Y29" s="39">
        <v>1.0</v>
      </c>
      <c r="Z29" s="39" t="s">
        <v>1721</v>
      </c>
      <c r="AA29" s="30" t="s">
        <v>411</v>
      </c>
      <c r="AC29" s="39">
        <v>300.0</v>
      </c>
      <c r="AE29" s="39">
        <v>1.0</v>
      </c>
    </row>
    <row r="30">
      <c r="A30" s="39" t="s">
        <v>1744</v>
      </c>
      <c r="B30" s="39" t="s">
        <v>1741</v>
      </c>
      <c r="C30" s="39" t="s">
        <v>1742</v>
      </c>
      <c r="D30" s="39" t="s">
        <v>3227</v>
      </c>
      <c r="E30" s="39" t="s">
        <v>1684</v>
      </c>
      <c r="F30" s="39" t="s">
        <v>397</v>
      </c>
      <c r="G30" s="39" t="s">
        <v>1745</v>
      </c>
      <c r="H30" s="39" t="s">
        <v>1745</v>
      </c>
      <c r="I30" s="40">
        <v>48.121</v>
      </c>
      <c r="L30" s="2" t="s">
        <v>66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1000.0</v>
      </c>
      <c r="AE30" s="39">
        <v>1.0</v>
      </c>
    </row>
    <row r="31">
      <c r="A31" s="39" t="s">
        <v>1746</v>
      </c>
      <c r="B31" s="39" t="s">
        <v>1741</v>
      </c>
      <c r="C31" s="39" t="s">
        <v>1742</v>
      </c>
      <c r="D31" s="39" t="s">
        <v>3227</v>
      </c>
      <c r="E31" s="39" t="s">
        <v>1684</v>
      </c>
      <c r="F31" s="39" t="s">
        <v>397</v>
      </c>
      <c r="G31" s="39" t="s">
        <v>1745</v>
      </c>
      <c r="H31" s="39" t="s">
        <v>1745</v>
      </c>
      <c r="L31" s="2"/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400.0</v>
      </c>
      <c r="AE31" s="39">
        <v>1.0</v>
      </c>
    </row>
    <row r="32">
      <c r="A32" s="39" t="s">
        <v>1747</v>
      </c>
      <c r="B32" s="39" t="s">
        <v>1741</v>
      </c>
      <c r="C32" s="39" t="s">
        <v>1742</v>
      </c>
      <c r="D32" s="39" t="s">
        <v>3227</v>
      </c>
      <c r="E32" s="39" t="s">
        <v>1684</v>
      </c>
      <c r="F32" s="39" t="s">
        <v>397</v>
      </c>
      <c r="G32" s="39" t="s">
        <v>1745</v>
      </c>
      <c r="H32" s="39" t="s">
        <v>1745</v>
      </c>
      <c r="L32" s="2"/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AE32" s="39">
        <v>1.0</v>
      </c>
    </row>
    <row r="33">
      <c r="A33" s="39" t="s">
        <v>1748</v>
      </c>
      <c r="B33" s="39" t="s">
        <v>1741</v>
      </c>
      <c r="C33" s="39" t="s">
        <v>1742</v>
      </c>
      <c r="D33" s="39" t="s">
        <v>3227</v>
      </c>
      <c r="E33" s="39" t="s">
        <v>1684</v>
      </c>
      <c r="F33" s="39" t="s">
        <v>397</v>
      </c>
      <c r="G33" s="39" t="s">
        <v>1749</v>
      </c>
      <c r="H33" s="39" t="s">
        <v>1749</v>
      </c>
      <c r="I33" s="40">
        <v>47.821</v>
      </c>
      <c r="L33" s="2" t="s">
        <v>66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0.0</v>
      </c>
      <c r="X33" s="39">
        <v>0.0</v>
      </c>
      <c r="Y33" s="39">
        <v>0.0</v>
      </c>
      <c r="AC33" s="39">
        <v>350.0</v>
      </c>
      <c r="AE33" s="39">
        <v>1.0</v>
      </c>
    </row>
    <row r="34">
      <c r="A34" s="39" t="s">
        <v>1750</v>
      </c>
      <c r="D34" s="39" t="s">
        <v>3227</v>
      </c>
      <c r="E34" s="39" t="s">
        <v>1684</v>
      </c>
      <c r="F34" s="39" t="s">
        <v>397</v>
      </c>
      <c r="G34" s="39" t="s">
        <v>1751</v>
      </c>
      <c r="H34" s="39" t="s">
        <v>1751</v>
      </c>
      <c r="I34" s="40">
        <v>46.921</v>
      </c>
      <c r="L34" s="30" t="s">
        <v>102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900.0</v>
      </c>
      <c r="AE34" s="39">
        <v>1.0</v>
      </c>
    </row>
    <row r="35">
      <c r="A35" s="39" t="s">
        <v>1752</v>
      </c>
      <c r="D35" s="39" t="s">
        <v>3227</v>
      </c>
      <c r="E35" s="39" t="s">
        <v>1684</v>
      </c>
      <c r="F35" s="39" t="s">
        <v>397</v>
      </c>
      <c r="G35" s="39" t="s">
        <v>1753</v>
      </c>
      <c r="H35" s="39" t="s">
        <v>1753</v>
      </c>
      <c r="I35" s="40">
        <v>45.821</v>
      </c>
      <c r="L35" s="39" t="s">
        <v>102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350.0</v>
      </c>
      <c r="AE35" s="39">
        <v>1.0</v>
      </c>
    </row>
    <row r="36">
      <c r="A36" s="39" t="s">
        <v>1714</v>
      </c>
      <c r="B36" s="39"/>
      <c r="C36" s="39"/>
      <c r="D36" s="39" t="s">
        <v>3227</v>
      </c>
      <c r="E36" s="39" t="s">
        <v>1684</v>
      </c>
      <c r="F36" s="39" t="s">
        <v>397</v>
      </c>
      <c r="G36" s="39"/>
      <c r="H36" s="39"/>
      <c r="I36" s="40">
        <v>45.221000000000004</v>
      </c>
      <c r="L36" s="30" t="s">
        <v>1716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900.0</v>
      </c>
      <c r="AE36" s="39">
        <v>1.0</v>
      </c>
    </row>
    <row r="37">
      <c r="A37" s="39" t="s">
        <v>1754</v>
      </c>
      <c r="B37" s="39" t="s">
        <v>1755</v>
      </c>
      <c r="C37" s="39" t="s">
        <v>1756</v>
      </c>
      <c r="D37" s="39" t="s">
        <v>3227</v>
      </c>
      <c r="E37" s="39" t="s">
        <v>1684</v>
      </c>
      <c r="F37" s="39" t="s">
        <v>397</v>
      </c>
      <c r="G37" s="39" t="s">
        <v>1757</v>
      </c>
      <c r="H37" s="39" t="s">
        <v>1757</v>
      </c>
      <c r="I37" s="40">
        <v>44.721000000000004</v>
      </c>
      <c r="L37" s="2" t="s">
        <v>66</v>
      </c>
      <c r="N37" s="39" t="s">
        <v>119</v>
      </c>
      <c r="O37" s="39" t="s">
        <v>67</v>
      </c>
      <c r="Q37" s="39">
        <v>0.0</v>
      </c>
      <c r="R37" s="39">
        <v>1.0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300.0</v>
      </c>
      <c r="AE37" s="39">
        <v>1.0</v>
      </c>
    </row>
    <row r="38">
      <c r="A38" s="39" t="s">
        <v>1758</v>
      </c>
      <c r="B38" s="39" t="s">
        <v>1755</v>
      </c>
      <c r="C38" s="39" t="s">
        <v>1756</v>
      </c>
      <c r="D38" s="39" t="s">
        <v>3227</v>
      </c>
      <c r="E38" s="39" t="s">
        <v>1684</v>
      </c>
      <c r="F38" s="39" t="s">
        <v>397</v>
      </c>
      <c r="G38" s="39" t="s">
        <v>1759</v>
      </c>
      <c r="H38" s="39" t="s">
        <v>1759</v>
      </c>
      <c r="I38" s="40">
        <v>44.221000000000004</v>
      </c>
      <c r="L38" s="2" t="s">
        <v>66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1.0</v>
      </c>
      <c r="W38" s="39">
        <v>0.0</v>
      </c>
      <c r="X38" s="39">
        <v>0.0</v>
      </c>
      <c r="Y38" s="39">
        <v>1.0</v>
      </c>
      <c r="Z38" s="39" t="s">
        <v>1760</v>
      </c>
      <c r="AA38" s="30" t="s">
        <v>97</v>
      </c>
      <c r="AC38" s="39">
        <v>250.0</v>
      </c>
      <c r="AE38" s="39">
        <v>1.0</v>
      </c>
    </row>
    <row r="39">
      <c r="A39" s="40" t="s">
        <v>3228</v>
      </c>
      <c r="B39" s="39" t="s">
        <v>1755</v>
      </c>
      <c r="C39" s="39" t="s">
        <v>1756</v>
      </c>
      <c r="D39" s="39" t="s">
        <v>3227</v>
      </c>
      <c r="E39" s="39" t="s">
        <v>1684</v>
      </c>
      <c r="F39" s="39" t="s">
        <v>397</v>
      </c>
      <c r="G39" s="39" t="s">
        <v>3229</v>
      </c>
      <c r="H39" s="39" t="s">
        <v>3229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1.0</v>
      </c>
      <c r="W39" s="39">
        <v>0.0</v>
      </c>
      <c r="X39" s="39">
        <v>1.0</v>
      </c>
      <c r="Y39" s="39">
        <v>0.0</v>
      </c>
      <c r="Z39" s="30" t="s">
        <v>3230</v>
      </c>
      <c r="AA39" s="30" t="s">
        <v>115</v>
      </c>
      <c r="AE39" s="39">
        <v>1.0</v>
      </c>
    </row>
    <row r="40">
      <c r="A40" s="40" t="s">
        <v>3231</v>
      </c>
      <c r="B40" s="39" t="s">
        <v>1755</v>
      </c>
      <c r="C40" s="39" t="s">
        <v>1756</v>
      </c>
      <c r="D40" s="39" t="s">
        <v>3227</v>
      </c>
      <c r="E40" s="39" t="s">
        <v>1684</v>
      </c>
      <c r="F40" s="39" t="s">
        <v>397</v>
      </c>
      <c r="G40" s="39" t="s">
        <v>3232</v>
      </c>
      <c r="H40" s="39" t="s">
        <v>3232</v>
      </c>
      <c r="N40" s="39" t="s">
        <v>67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1.0</v>
      </c>
      <c r="W40" s="39">
        <v>1.0</v>
      </c>
      <c r="X40" s="39">
        <v>1.0</v>
      </c>
      <c r="Y40" s="39">
        <v>0.0</v>
      </c>
      <c r="Z40" s="30" t="s">
        <v>1773</v>
      </c>
      <c r="AA40" s="30" t="s">
        <v>115</v>
      </c>
      <c r="AE40" s="39">
        <v>1.0</v>
      </c>
    </row>
    <row r="41">
      <c r="A41" s="40" t="s">
        <v>3233</v>
      </c>
      <c r="B41" s="39" t="s">
        <v>343</v>
      </c>
      <c r="C41" s="39" t="s">
        <v>873</v>
      </c>
      <c r="D41" s="39" t="s">
        <v>3227</v>
      </c>
      <c r="E41" s="39" t="s">
        <v>1684</v>
      </c>
      <c r="F41" s="39" t="s">
        <v>397</v>
      </c>
      <c r="G41" s="39" t="s">
        <v>3234</v>
      </c>
      <c r="H41" s="39" t="s">
        <v>3234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1.0</v>
      </c>
      <c r="W41" s="39">
        <v>0.0</v>
      </c>
      <c r="X41" s="39">
        <v>0.0</v>
      </c>
      <c r="Y41" s="39">
        <v>0.0</v>
      </c>
      <c r="AE41" s="39">
        <v>1.0</v>
      </c>
    </row>
    <row r="42">
      <c r="A42" s="40" t="s">
        <v>3235</v>
      </c>
      <c r="B42" s="39" t="s">
        <v>343</v>
      </c>
      <c r="C42" s="39" t="s">
        <v>873</v>
      </c>
      <c r="D42" s="39" t="s">
        <v>3227</v>
      </c>
      <c r="E42" s="39" t="s">
        <v>1684</v>
      </c>
      <c r="F42" s="39" t="s">
        <v>397</v>
      </c>
      <c r="G42" s="39" t="s">
        <v>3236</v>
      </c>
      <c r="H42" s="39" t="s">
        <v>3236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1.0</v>
      </c>
      <c r="W42" s="39">
        <v>0.0</v>
      </c>
      <c r="X42" s="39">
        <v>0.0</v>
      </c>
      <c r="Y42" s="39">
        <v>0.0</v>
      </c>
      <c r="AE42" s="39">
        <v>1.0</v>
      </c>
    </row>
    <row r="43">
      <c r="A43" s="39" t="s">
        <v>2542</v>
      </c>
      <c r="D43" s="39" t="s">
        <v>3227</v>
      </c>
      <c r="E43" s="39" t="s">
        <v>1684</v>
      </c>
      <c r="F43" s="39" t="s">
        <v>397</v>
      </c>
      <c r="G43" s="39" t="s">
        <v>3237</v>
      </c>
      <c r="H43" s="39" t="s">
        <v>3237</v>
      </c>
      <c r="N43" s="39" t="s">
        <v>67</v>
      </c>
      <c r="O43" s="39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E43" s="39">
        <v>1.0</v>
      </c>
    </row>
    <row r="44">
      <c r="A44" s="39" t="s">
        <v>1779</v>
      </c>
      <c r="D44" s="39" t="s">
        <v>3227</v>
      </c>
      <c r="E44" s="39" t="s">
        <v>1684</v>
      </c>
      <c r="F44" s="39" t="s">
        <v>397</v>
      </c>
      <c r="G44" s="39" t="s">
        <v>3238</v>
      </c>
      <c r="H44" s="39" t="s">
        <v>3238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E44" s="39">
        <v>1.0</v>
      </c>
    </row>
    <row r="45">
      <c r="A45" s="39" t="s">
        <v>2147</v>
      </c>
      <c r="D45" s="39" t="s">
        <v>3227</v>
      </c>
      <c r="E45" s="39" t="s">
        <v>1684</v>
      </c>
      <c r="F45" s="39" t="s">
        <v>397</v>
      </c>
      <c r="G45" s="39" t="s">
        <v>3239</v>
      </c>
      <c r="H45" s="39" t="s">
        <v>3239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E45" s="39">
        <v>1.0</v>
      </c>
    </row>
    <row r="46">
      <c r="A46" s="39" t="s">
        <v>2133</v>
      </c>
      <c r="D46" s="39" t="s">
        <v>3227</v>
      </c>
      <c r="E46" s="39" t="s">
        <v>1684</v>
      </c>
      <c r="F46" s="39" t="s">
        <v>397</v>
      </c>
      <c r="G46" s="39" t="s">
        <v>3240</v>
      </c>
      <c r="H46" s="39" t="s">
        <v>3240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E46" s="39">
        <v>1.0</v>
      </c>
    </row>
    <row r="47">
      <c r="A47" s="39" t="s">
        <v>2542</v>
      </c>
      <c r="D47" s="39" t="s">
        <v>3227</v>
      </c>
      <c r="E47" s="39" t="s">
        <v>1684</v>
      </c>
      <c r="F47" s="39" t="s">
        <v>397</v>
      </c>
      <c r="G47" s="39" t="s">
        <v>3241</v>
      </c>
      <c r="H47" s="39" t="s">
        <v>3241</v>
      </c>
      <c r="N47" s="39" t="s">
        <v>119</v>
      </c>
      <c r="O47" s="39" t="s">
        <v>68</v>
      </c>
      <c r="Q47" s="39">
        <v>0.0</v>
      </c>
      <c r="R47" s="39">
        <v>1.0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E47" s="39">
        <v>1.0</v>
      </c>
    </row>
    <row r="48">
      <c r="A48" s="39" t="s">
        <v>1855</v>
      </c>
      <c r="D48" s="39" t="s">
        <v>3227</v>
      </c>
      <c r="E48" s="39" t="s">
        <v>1684</v>
      </c>
      <c r="F48" s="39" t="s">
        <v>397</v>
      </c>
      <c r="G48" s="39" t="s">
        <v>1805</v>
      </c>
      <c r="H48" s="39" t="s">
        <v>1805</v>
      </c>
      <c r="N48" s="39" t="s">
        <v>67</v>
      </c>
      <c r="O48" s="39" t="s">
        <v>68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E48" s="39">
        <v>1.0</v>
      </c>
    </row>
    <row r="49">
      <c r="A49" s="39" t="s">
        <v>3242</v>
      </c>
      <c r="B49" s="39" t="s">
        <v>3243</v>
      </c>
      <c r="C49" s="39" t="s">
        <v>3244</v>
      </c>
      <c r="D49" s="39" t="s">
        <v>3227</v>
      </c>
      <c r="E49" s="39" t="s">
        <v>1684</v>
      </c>
      <c r="F49" s="39" t="s">
        <v>397</v>
      </c>
      <c r="G49" s="39" t="s">
        <v>1850</v>
      </c>
      <c r="H49" s="39" t="s">
        <v>1850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1.0</v>
      </c>
      <c r="W49" s="39">
        <v>0.0</v>
      </c>
      <c r="X49" s="39">
        <v>2.0</v>
      </c>
      <c r="Y49" s="39">
        <v>0.0</v>
      </c>
      <c r="Z49" s="39" t="s">
        <v>3245</v>
      </c>
      <c r="AA49" s="30" t="s">
        <v>78</v>
      </c>
      <c r="AE49" s="39">
        <v>1.0</v>
      </c>
    </row>
    <row r="50">
      <c r="A50" s="39" t="s">
        <v>3246</v>
      </c>
      <c r="B50" s="39" t="s">
        <v>3243</v>
      </c>
      <c r="C50" s="39" t="s">
        <v>3244</v>
      </c>
      <c r="D50" s="39" t="s">
        <v>3227</v>
      </c>
      <c r="E50" s="39" t="s">
        <v>1684</v>
      </c>
      <c r="F50" s="39" t="s">
        <v>397</v>
      </c>
      <c r="G50" s="39" t="s">
        <v>3247</v>
      </c>
      <c r="H50" s="39" t="s">
        <v>3247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E50" s="39">
        <v>1.0</v>
      </c>
    </row>
    <row r="51">
      <c r="A51" s="39" t="s">
        <v>3248</v>
      </c>
      <c r="B51" s="39" t="s">
        <v>3243</v>
      </c>
      <c r="C51" s="39" t="s">
        <v>3244</v>
      </c>
      <c r="D51" s="39" t="s">
        <v>3227</v>
      </c>
      <c r="E51" s="39" t="s">
        <v>1684</v>
      </c>
      <c r="F51" s="39" t="s">
        <v>397</v>
      </c>
      <c r="G51" s="39" t="s">
        <v>1854</v>
      </c>
      <c r="H51" s="39" t="s">
        <v>1854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E51" s="39">
        <v>1.0</v>
      </c>
    </row>
    <row r="52">
      <c r="A52" s="40" t="s">
        <v>2129</v>
      </c>
      <c r="D52" s="39" t="s">
        <v>3227</v>
      </c>
      <c r="E52" s="39" t="s">
        <v>1684</v>
      </c>
      <c r="F52" s="39" t="s">
        <v>397</v>
      </c>
      <c r="G52" s="39" t="s">
        <v>3249</v>
      </c>
      <c r="H52" s="39" t="s">
        <v>3249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E52" s="39">
        <v>1.0</v>
      </c>
    </row>
    <row r="53">
      <c r="A53" s="39" t="s">
        <v>3250</v>
      </c>
      <c r="D53" s="39" t="s">
        <v>3227</v>
      </c>
      <c r="E53" s="39" t="s">
        <v>1684</v>
      </c>
      <c r="F53" s="39" t="s">
        <v>397</v>
      </c>
      <c r="G53" s="39" t="s">
        <v>3251</v>
      </c>
      <c r="H53" s="39" t="s">
        <v>3251</v>
      </c>
      <c r="N53" s="39" t="s">
        <v>67</v>
      </c>
      <c r="O53" s="39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E53" s="39">
        <v>1.0</v>
      </c>
    </row>
    <row r="54">
      <c r="A54" s="39" t="s">
        <v>2542</v>
      </c>
      <c r="D54" s="39" t="s">
        <v>3227</v>
      </c>
      <c r="E54" s="39" t="s">
        <v>1684</v>
      </c>
      <c r="F54" s="39" t="s">
        <v>397</v>
      </c>
      <c r="G54" s="39" t="s">
        <v>2112</v>
      </c>
      <c r="H54" s="39" t="s">
        <v>2112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E54" s="39">
        <v>1.0</v>
      </c>
    </row>
    <row r="55">
      <c r="A55" s="39" t="s">
        <v>3252</v>
      </c>
      <c r="B55" s="39" t="s">
        <v>3253</v>
      </c>
      <c r="C55" s="39" t="s">
        <v>3254</v>
      </c>
      <c r="D55" s="39" t="s">
        <v>3227</v>
      </c>
      <c r="E55" s="39" t="s">
        <v>1684</v>
      </c>
      <c r="F55" s="39" t="s">
        <v>397</v>
      </c>
      <c r="G55" s="39" t="s">
        <v>3255</v>
      </c>
      <c r="H55" s="39" t="s">
        <v>3255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1.0</v>
      </c>
      <c r="W55" s="39">
        <v>0.0</v>
      </c>
      <c r="X55" s="39">
        <v>1.0</v>
      </c>
      <c r="Y55" s="39">
        <v>0.0</v>
      </c>
      <c r="Z55" s="30" t="s">
        <v>1999</v>
      </c>
      <c r="AA55" s="30" t="s">
        <v>115</v>
      </c>
      <c r="AE55" s="39">
        <v>1.0</v>
      </c>
    </row>
    <row r="56">
      <c r="A56" s="39" t="s">
        <v>3256</v>
      </c>
      <c r="B56" s="39" t="s">
        <v>3253</v>
      </c>
      <c r="C56" s="39" t="s">
        <v>3254</v>
      </c>
      <c r="D56" s="39" t="s">
        <v>3227</v>
      </c>
      <c r="E56" s="39" t="s">
        <v>1684</v>
      </c>
      <c r="F56" s="39" t="s">
        <v>397</v>
      </c>
      <c r="G56" s="39" t="s">
        <v>3257</v>
      </c>
      <c r="H56" s="39" t="s">
        <v>3257</v>
      </c>
      <c r="N56" s="39" t="s">
        <v>67</v>
      </c>
      <c r="O56" s="39" t="s">
        <v>68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E56" s="39">
        <v>1.0</v>
      </c>
    </row>
    <row r="57">
      <c r="A57" s="39" t="s">
        <v>3258</v>
      </c>
      <c r="B57" s="39" t="s">
        <v>3253</v>
      </c>
      <c r="C57" s="39" t="s">
        <v>3254</v>
      </c>
      <c r="D57" s="39" t="s">
        <v>3227</v>
      </c>
      <c r="E57" s="39" t="s">
        <v>1684</v>
      </c>
      <c r="F57" s="39" t="s">
        <v>397</v>
      </c>
      <c r="G57" s="39" t="s">
        <v>3259</v>
      </c>
      <c r="H57" s="39" t="s">
        <v>3259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E57" s="39">
        <v>1.0</v>
      </c>
    </row>
    <row r="58">
      <c r="A58" s="40" t="s">
        <v>2129</v>
      </c>
      <c r="D58" s="39" t="s">
        <v>3227</v>
      </c>
      <c r="E58" s="39" t="s">
        <v>1684</v>
      </c>
      <c r="F58" s="39" t="s">
        <v>397</v>
      </c>
      <c r="G58" s="39" t="s">
        <v>3260</v>
      </c>
      <c r="H58" s="39" t="s">
        <v>3260</v>
      </c>
      <c r="N58" s="39" t="s">
        <v>67</v>
      </c>
      <c r="O58" s="39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E58" s="39">
        <v>1.0</v>
      </c>
    </row>
    <row r="59">
      <c r="A59" s="39" t="s">
        <v>3261</v>
      </c>
      <c r="D59" s="39" t="s">
        <v>3227</v>
      </c>
      <c r="E59" s="39" t="s">
        <v>1684</v>
      </c>
      <c r="F59" s="39" t="s">
        <v>397</v>
      </c>
      <c r="G59" s="39" t="s">
        <v>2524</v>
      </c>
      <c r="H59" s="39" t="s">
        <v>2524</v>
      </c>
      <c r="N59" s="39" t="s">
        <v>67</v>
      </c>
      <c r="O59" s="39" t="s">
        <v>68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E59" s="39">
        <v>1.0</v>
      </c>
    </row>
    <row r="60">
      <c r="A60" s="40" t="s">
        <v>3262</v>
      </c>
      <c r="B60" s="39" t="s">
        <v>3263</v>
      </c>
      <c r="C60" s="39" t="s">
        <v>3264</v>
      </c>
      <c r="D60" s="39" t="s">
        <v>3227</v>
      </c>
      <c r="E60" s="39" t="s">
        <v>1684</v>
      </c>
      <c r="F60" s="39" t="s">
        <v>397</v>
      </c>
      <c r="G60" s="39" t="s">
        <v>3265</v>
      </c>
      <c r="H60" s="39" t="s">
        <v>3265</v>
      </c>
      <c r="N60" s="39" t="s">
        <v>67</v>
      </c>
      <c r="O60" s="39" t="s">
        <v>68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E60" s="39">
        <v>1.0</v>
      </c>
    </row>
    <row r="61">
      <c r="A61" s="39" t="s">
        <v>3266</v>
      </c>
      <c r="B61" s="39" t="s">
        <v>3263</v>
      </c>
      <c r="C61" s="39" t="s">
        <v>3264</v>
      </c>
      <c r="D61" s="39" t="s">
        <v>3227</v>
      </c>
      <c r="E61" s="39" t="s">
        <v>1684</v>
      </c>
      <c r="F61" s="39" t="s">
        <v>397</v>
      </c>
      <c r="G61" s="39" t="s">
        <v>2142</v>
      </c>
      <c r="H61" s="39" t="s">
        <v>2142</v>
      </c>
      <c r="N61" s="39" t="s">
        <v>67</v>
      </c>
      <c r="O61" s="39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1.0</v>
      </c>
      <c r="W61" s="39">
        <v>0.0</v>
      </c>
      <c r="X61" s="39">
        <v>1.0</v>
      </c>
      <c r="Y61" s="39">
        <v>0.0</v>
      </c>
      <c r="Z61" s="30" t="s">
        <v>1999</v>
      </c>
      <c r="AA61" s="30" t="s">
        <v>115</v>
      </c>
      <c r="AE61" s="39">
        <v>1.0</v>
      </c>
    </row>
    <row r="62">
      <c r="A62" s="39" t="s">
        <v>3267</v>
      </c>
      <c r="B62" s="39" t="s">
        <v>3263</v>
      </c>
      <c r="C62" s="39" t="s">
        <v>3264</v>
      </c>
      <c r="D62" s="39" t="s">
        <v>3227</v>
      </c>
      <c r="E62" s="39" t="s">
        <v>1684</v>
      </c>
      <c r="F62" s="39" t="s">
        <v>397</v>
      </c>
      <c r="G62" s="39" t="s">
        <v>3268</v>
      </c>
      <c r="H62" s="39" t="s">
        <v>3268</v>
      </c>
      <c r="N62" s="39" t="s">
        <v>67</v>
      </c>
      <c r="O62" s="39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E62" s="39">
        <v>1.0</v>
      </c>
    </row>
    <row r="63">
      <c r="A63" s="39" t="s">
        <v>3269</v>
      </c>
      <c r="B63" s="39" t="s">
        <v>3263</v>
      </c>
      <c r="C63" s="39" t="s">
        <v>3264</v>
      </c>
      <c r="D63" s="39" t="s">
        <v>3227</v>
      </c>
      <c r="E63" s="39" t="s">
        <v>1684</v>
      </c>
      <c r="F63" s="39" t="s">
        <v>397</v>
      </c>
      <c r="G63" s="39" t="s">
        <v>3270</v>
      </c>
      <c r="H63" s="39" t="s">
        <v>3270</v>
      </c>
      <c r="N63" s="39" t="s">
        <v>67</v>
      </c>
      <c r="O63" s="39" t="s">
        <v>68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AE63" s="39">
        <v>1.0</v>
      </c>
    </row>
    <row r="64">
      <c r="A64" s="40" t="s">
        <v>2129</v>
      </c>
      <c r="D64" s="39" t="s">
        <v>3227</v>
      </c>
      <c r="E64" s="39" t="s">
        <v>1684</v>
      </c>
      <c r="F64" s="39" t="s">
        <v>397</v>
      </c>
      <c r="G64" s="39" t="s">
        <v>3271</v>
      </c>
      <c r="H64" s="39" t="s">
        <v>3271</v>
      </c>
      <c r="N64" s="39" t="s">
        <v>67</v>
      </c>
      <c r="O64" s="39" t="s">
        <v>68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AE64" s="39">
        <v>1.0</v>
      </c>
    </row>
    <row r="65">
      <c r="A65" s="39" t="s">
        <v>3272</v>
      </c>
      <c r="D65" s="39" t="s">
        <v>3227</v>
      </c>
      <c r="E65" s="39" t="s">
        <v>1684</v>
      </c>
      <c r="F65" s="39" t="s">
        <v>397</v>
      </c>
      <c r="G65" s="39" t="s">
        <v>3273</v>
      </c>
      <c r="H65" s="39" t="s">
        <v>3273</v>
      </c>
      <c r="N65" s="39" t="s">
        <v>67</v>
      </c>
      <c r="O65" s="39" t="s">
        <v>68</v>
      </c>
      <c r="Q65" s="39">
        <v>0.0</v>
      </c>
      <c r="R65" s="39">
        <v>0.0</v>
      </c>
      <c r="S65" s="39">
        <v>1.0</v>
      </c>
      <c r="T65" s="39">
        <v>0.0</v>
      </c>
      <c r="U65" s="39">
        <v>1.0</v>
      </c>
      <c r="V65" s="39">
        <v>0.0</v>
      </c>
      <c r="W65" s="39">
        <v>0.0</v>
      </c>
      <c r="X65" s="39">
        <v>0.0</v>
      </c>
      <c r="Y65" s="39">
        <v>0.0</v>
      </c>
      <c r="AE65" s="39">
        <v>1.0</v>
      </c>
    </row>
    <row r="66">
      <c r="A66" s="39" t="s">
        <v>3274</v>
      </c>
      <c r="D66" s="39" t="s">
        <v>3227</v>
      </c>
      <c r="E66" s="39" t="s">
        <v>1684</v>
      </c>
      <c r="F66" s="39" t="s">
        <v>397</v>
      </c>
      <c r="G66" s="39" t="s">
        <v>3275</v>
      </c>
      <c r="H66" s="39" t="s">
        <v>3275</v>
      </c>
      <c r="N66" s="39" t="s">
        <v>67</v>
      </c>
      <c r="O66" s="39" t="s">
        <v>68</v>
      </c>
      <c r="Q66" s="39">
        <v>0.0</v>
      </c>
      <c r="R66" s="39">
        <v>0.0</v>
      </c>
      <c r="S66" s="39">
        <v>1.0</v>
      </c>
      <c r="T66" s="39">
        <v>0.0</v>
      </c>
      <c r="U66" s="39">
        <v>0.0</v>
      </c>
      <c r="V66" s="39">
        <v>0.0</v>
      </c>
      <c r="W66" s="39">
        <v>0.0</v>
      </c>
      <c r="X66" s="39">
        <v>0.0</v>
      </c>
      <c r="Y66" s="39">
        <v>0.0</v>
      </c>
      <c r="AE66" s="39">
        <v>1.0</v>
      </c>
    </row>
    <row r="67">
      <c r="A67" s="39" t="s">
        <v>3276</v>
      </c>
      <c r="D67" s="39" t="s">
        <v>3227</v>
      </c>
      <c r="E67" s="39" t="s">
        <v>1684</v>
      </c>
      <c r="F67" s="39" t="s">
        <v>397</v>
      </c>
      <c r="G67" s="39" t="s">
        <v>3277</v>
      </c>
      <c r="H67" s="39" t="s">
        <v>3277</v>
      </c>
      <c r="N67" s="39" t="s">
        <v>67</v>
      </c>
      <c r="O67" s="39" t="s">
        <v>68</v>
      </c>
      <c r="Q67" s="39">
        <v>0.0</v>
      </c>
      <c r="R67" s="39">
        <v>0.0</v>
      </c>
      <c r="S67" s="39">
        <v>1.0</v>
      </c>
      <c r="T67" s="39">
        <v>0.0</v>
      </c>
      <c r="U67" s="39">
        <v>0.0</v>
      </c>
      <c r="V67" s="39">
        <v>0.0</v>
      </c>
      <c r="W67" s="39">
        <v>0.0</v>
      </c>
      <c r="X67" s="39">
        <v>0.0</v>
      </c>
      <c r="Y67" s="39">
        <v>0.0</v>
      </c>
      <c r="AE67" s="39">
        <v>1.0</v>
      </c>
    </row>
    <row r="68">
      <c r="A68" s="40" t="s">
        <v>3278</v>
      </c>
      <c r="B68" s="39" t="s">
        <v>3279</v>
      </c>
      <c r="C68" s="39" t="s">
        <v>3280</v>
      </c>
      <c r="D68" s="39" t="s">
        <v>3227</v>
      </c>
      <c r="E68" s="39" t="s">
        <v>1684</v>
      </c>
      <c r="F68" s="39" t="s">
        <v>397</v>
      </c>
      <c r="G68" s="39" t="s">
        <v>3281</v>
      </c>
      <c r="H68" s="39" t="s">
        <v>3281</v>
      </c>
      <c r="N68" s="39" t="s">
        <v>67</v>
      </c>
      <c r="O68" s="39" t="s">
        <v>68</v>
      </c>
      <c r="Q68" s="39">
        <v>0.0</v>
      </c>
      <c r="R68" s="39">
        <v>0.0</v>
      </c>
      <c r="S68" s="39">
        <v>1.0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AE68" s="39">
        <v>1.0</v>
      </c>
    </row>
    <row r="69">
      <c r="A69" s="39" t="s">
        <v>3282</v>
      </c>
      <c r="B69" s="39" t="s">
        <v>3279</v>
      </c>
      <c r="C69" s="39" t="s">
        <v>3280</v>
      </c>
      <c r="D69" s="39" t="s">
        <v>3227</v>
      </c>
      <c r="E69" s="39" t="s">
        <v>1684</v>
      </c>
      <c r="F69" s="39" t="s">
        <v>397</v>
      </c>
      <c r="G69" s="39" t="s">
        <v>3283</v>
      </c>
      <c r="H69" s="39" t="s">
        <v>3283</v>
      </c>
      <c r="N69" s="39" t="s">
        <v>67</v>
      </c>
      <c r="O69" s="39" t="s">
        <v>68</v>
      </c>
      <c r="Q69" s="39">
        <v>0.0</v>
      </c>
      <c r="R69" s="39">
        <v>0.0</v>
      </c>
      <c r="S69" s="39">
        <v>1.0</v>
      </c>
      <c r="T69" s="39">
        <v>0.0</v>
      </c>
      <c r="U69" s="39">
        <v>0.0</v>
      </c>
      <c r="V69" s="39">
        <v>1.0</v>
      </c>
      <c r="W69" s="39">
        <v>0.0</v>
      </c>
      <c r="X69" s="39">
        <v>0.0</v>
      </c>
      <c r="Y69" s="39">
        <v>0.0</v>
      </c>
      <c r="Z69" s="30" t="s">
        <v>3284</v>
      </c>
      <c r="AA69" s="30" t="s">
        <v>115</v>
      </c>
      <c r="AE69" s="39">
        <v>1.0</v>
      </c>
    </row>
    <row r="70">
      <c r="A70" s="39" t="s">
        <v>3285</v>
      </c>
      <c r="B70" s="39" t="s">
        <v>3279</v>
      </c>
      <c r="C70" s="39" t="s">
        <v>3280</v>
      </c>
      <c r="D70" s="39" t="s">
        <v>3227</v>
      </c>
      <c r="E70" s="39" t="s">
        <v>1684</v>
      </c>
      <c r="F70" s="39" t="s">
        <v>397</v>
      </c>
      <c r="G70" s="39" t="s">
        <v>1794</v>
      </c>
      <c r="H70" s="39" t="s">
        <v>1794</v>
      </c>
      <c r="N70" s="39" t="s">
        <v>81</v>
      </c>
      <c r="O70" s="39" t="s">
        <v>68</v>
      </c>
      <c r="Q70" s="39">
        <v>1.0</v>
      </c>
      <c r="R70" s="39">
        <v>0.0</v>
      </c>
      <c r="S70" s="39">
        <v>0.0</v>
      </c>
      <c r="T70" s="39">
        <v>0.0</v>
      </c>
      <c r="U70" s="39">
        <v>0.0</v>
      </c>
      <c r="V70" s="39">
        <v>1.0</v>
      </c>
      <c r="W70" s="39">
        <v>1.0</v>
      </c>
      <c r="X70" s="39">
        <v>1.0</v>
      </c>
      <c r="Y70" s="39">
        <v>1.0</v>
      </c>
      <c r="Z70" s="30" t="s">
        <v>3286</v>
      </c>
      <c r="AA70" s="30" t="s">
        <v>70</v>
      </c>
      <c r="AE70" s="39">
        <v>1.0</v>
      </c>
    </row>
    <row r="71">
      <c r="A71" s="39" t="s">
        <v>3287</v>
      </c>
      <c r="B71" s="39" t="s">
        <v>3279</v>
      </c>
      <c r="C71" s="39" t="s">
        <v>3280</v>
      </c>
      <c r="D71" s="39" t="s">
        <v>3227</v>
      </c>
      <c r="E71" s="39" t="s">
        <v>1684</v>
      </c>
      <c r="F71" s="39" t="s">
        <v>397</v>
      </c>
      <c r="G71" s="39" t="s">
        <v>76</v>
      </c>
      <c r="N71" s="39" t="s">
        <v>67</v>
      </c>
      <c r="O71" s="39" t="s">
        <v>68</v>
      </c>
      <c r="Q71" s="39">
        <v>0.0</v>
      </c>
      <c r="R71" s="39">
        <v>0.0</v>
      </c>
      <c r="S71" s="39">
        <v>1.0</v>
      </c>
      <c r="T71" s="39">
        <v>0.0</v>
      </c>
      <c r="U71" s="39">
        <v>0.0</v>
      </c>
      <c r="V71" s="39">
        <v>1.0</v>
      </c>
      <c r="W71" s="39">
        <v>1.0</v>
      </c>
      <c r="X71" s="39">
        <v>1.0</v>
      </c>
      <c r="Y71" s="39">
        <v>0.0</v>
      </c>
      <c r="Z71" s="30" t="s">
        <v>3288</v>
      </c>
      <c r="AA71" s="30" t="s">
        <v>115</v>
      </c>
      <c r="AE71" s="39">
        <v>1.0</v>
      </c>
    </row>
    <row r="72">
      <c r="A72" s="39" t="s">
        <v>3289</v>
      </c>
      <c r="B72" s="39" t="s">
        <v>3279</v>
      </c>
      <c r="C72" s="39" t="s">
        <v>3280</v>
      </c>
      <c r="D72" s="39" t="s">
        <v>3227</v>
      </c>
      <c r="E72" s="39" t="s">
        <v>1684</v>
      </c>
      <c r="F72" s="39" t="s">
        <v>397</v>
      </c>
      <c r="G72" s="39" t="s">
        <v>3290</v>
      </c>
      <c r="N72" s="39" t="s">
        <v>81</v>
      </c>
      <c r="O72" s="39" t="s">
        <v>68</v>
      </c>
      <c r="Q72" s="39">
        <v>1.0</v>
      </c>
      <c r="R72" s="39">
        <v>0.0</v>
      </c>
      <c r="S72" s="39">
        <v>0.0</v>
      </c>
      <c r="T72" s="39">
        <v>0.0</v>
      </c>
      <c r="U72" s="39">
        <v>0.0</v>
      </c>
      <c r="V72" s="39">
        <v>1.0</v>
      </c>
      <c r="W72" s="39">
        <v>1.0</v>
      </c>
      <c r="X72" s="39">
        <v>1.0</v>
      </c>
      <c r="Y72" s="39">
        <v>0.0</v>
      </c>
      <c r="Z72" s="30" t="s">
        <v>3288</v>
      </c>
      <c r="AA72" s="30" t="s">
        <v>115</v>
      </c>
      <c r="AE72" s="39">
        <v>1.0</v>
      </c>
    </row>
    <row r="73">
      <c r="A73" s="39" t="s">
        <v>3291</v>
      </c>
      <c r="B73" s="39" t="s">
        <v>3279</v>
      </c>
      <c r="C73" s="39" t="s">
        <v>3280</v>
      </c>
      <c r="D73" s="39" t="s">
        <v>3227</v>
      </c>
      <c r="E73" s="39" t="s">
        <v>1684</v>
      </c>
      <c r="F73" s="39" t="s">
        <v>397</v>
      </c>
      <c r="G73" s="39" t="s">
        <v>3292</v>
      </c>
      <c r="N73" s="39" t="s">
        <v>67</v>
      </c>
      <c r="O73" s="39" t="s">
        <v>68</v>
      </c>
      <c r="Q73" s="39">
        <v>0.0</v>
      </c>
      <c r="R73" s="39">
        <v>0.0</v>
      </c>
      <c r="S73" s="39">
        <v>1.0</v>
      </c>
      <c r="T73" s="39">
        <v>0.0</v>
      </c>
      <c r="U73" s="39">
        <v>0.0</v>
      </c>
      <c r="V73" s="39">
        <v>1.0</v>
      </c>
      <c r="W73" s="39">
        <v>1.0</v>
      </c>
      <c r="X73" s="39">
        <v>1.0</v>
      </c>
      <c r="Y73" s="39">
        <v>0.0</v>
      </c>
      <c r="Z73" s="30" t="s">
        <v>3288</v>
      </c>
      <c r="AA73" s="30" t="s">
        <v>115</v>
      </c>
      <c r="AE73" s="39">
        <v>1.0</v>
      </c>
    </row>
    <row r="74">
      <c r="A74" s="39" t="s">
        <v>3293</v>
      </c>
      <c r="B74" s="39" t="s">
        <v>3279</v>
      </c>
      <c r="C74" s="39" t="s">
        <v>3280</v>
      </c>
      <c r="D74" s="39" t="s">
        <v>3227</v>
      </c>
      <c r="E74" s="39" t="s">
        <v>1684</v>
      </c>
      <c r="F74" s="39" t="s">
        <v>397</v>
      </c>
      <c r="G74" s="39" t="s">
        <v>3294</v>
      </c>
      <c r="N74" s="39" t="s">
        <v>81</v>
      </c>
      <c r="O74" s="39" t="s">
        <v>68</v>
      </c>
      <c r="Q74" s="39">
        <v>1.0</v>
      </c>
      <c r="R74" s="39">
        <v>0.0</v>
      </c>
      <c r="S74" s="39">
        <v>0.0</v>
      </c>
      <c r="T74" s="39">
        <v>0.0</v>
      </c>
      <c r="U74" s="39">
        <v>0.0</v>
      </c>
      <c r="V74" s="39">
        <v>1.0</v>
      </c>
      <c r="W74" s="39">
        <v>1.0</v>
      </c>
      <c r="X74" s="39">
        <v>1.0</v>
      </c>
      <c r="Y74" s="39">
        <v>0.0</v>
      </c>
      <c r="Z74" s="30" t="s">
        <v>3288</v>
      </c>
      <c r="AA74" s="30" t="s">
        <v>115</v>
      </c>
      <c r="AE74" s="39">
        <v>1.0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3295</v>
      </c>
      <c r="B2" s="39" t="s">
        <v>3279</v>
      </c>
      <c r="C2" s="39" t="s">
        <v>3280</v>
      </c>
      <c r="D2" s="39" t="s">
        <v>3296</v>
      </c>
      <c r="E2" s="39" t="s">
        <v>1771</v>
      </c>
      <c r="F2" s="39" t="s">
        <v>64</v>
      </c>
      <c r="G2" s="39" t="s">
        <v>85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2.0</v>
      </c>
      <c r="Z2" s="30" t="s">
        <v>3297</v>
      </c>
      <c r="AA2" s="30" t="s">
        <v>315</v>
      </c>
      <c r="AE2" s="39">
        <v>1.0</v>
      </c>
    </row>
    <row r="3">
      <c r="A3" s="39" t="s">
        <v>3298</v>
      </c>
      <c r="B3" s="39" t="s">
        <v>3279</v>
      </c>
      <c r="C3" s="39" t="s">
        <v>3280</v>
      </c>
      <c r="D3" s="39" t="s">
        <v>3296</v>
      </c>
      <c r="E3" s="39" t="s">
        <v>1771</v>
      </c>
      <c r="F3" s="39" t="s">
        <v>64</v>
      </c>
      <c r="G3" s="39" t="s">
        <v>3299</v>
      </c>
      <c r="H3" s="39" t="s">
        <v>3299</v>
      </c>
      <c r="N3" s="39" t="s">
        <v>67</v>
      </c>
      <c r="O3" s="39" t="s">
        <v>67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E3" s="39">
        <v>1.0</v>
      </c>
    </row>
    <row r="4">
      <c r="A4" s="39" t="s">
        <v>2542</v>
      </c>
      <c r="D4" s="39" t="s">
        <v>3296</v>
      </c>
      <c r="E4" s="39" t="s">
        <v>1771</v>
      </c>
      <c r="F4" s="39" t="s">
        <v>64</v>
      </c>
      <c r="G4" s="39" t="s">
        <v>3300</v>
      </c>
      <c r="H4" s="39" t="s">
        <v>3300</v>
      </c>
      <c r="L4" s="39" t="s">
        <v>2126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E4" s="39">
        <v>1.0</v>
      </c>
    </row>
    <row r="5">
      <c r="A5" s="39" t="s">
        <v>3276</v>
      </c>
      <c r="D5" s="39" t="s">
        <v>3296</v>
      </c>
      <c r="E5" s="39" t="s">
        <v>1771</v>
      </c>
      <c r="F5" s="39" t="s">
        <v>64</v>
      </c>
      <c r="G5" s="39" t="s">
        <v>3301</v>
      </c>
      <c r="H5" s="39" t="s">
        <v>3301</v>
      </c>
      <c r="L5" s="39" t="s">
        <v>1716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E5" s="39">
        <v>1.0</v>
      </c>
    </row>
    <row r="6">
      <c r="A6" s="40" t="s">
        <v>2129</v>
      </c>
      <c r="D6" s="39" t="s">
        <v>3296</v>
      </c>
      <c r="E6" s="39" t="s">
        <v>1771</v>
      </c>
      <c r="F6" s="39" t="s">
        <v>64</v>
      </c>
      <c r="G6" s="39" t="s">
        <v>3302</v>
      </c>
      <c r="H6" s="39" t="s">
        <v>3302</v>
      </c>
      <c r="L6" s="39" t="s">
        <v>2126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E6" s="39">
        <v>1.0</v>
      </c>
    </row>
    <row r="7">
      <c r="A7" s="39" t="s">
        <v>3303</v>
      </c>
      <c r="D7" s="39" t="s">
        <v>3296</v>
      </c>
      <c r="E7" s="39" t="s">
        <v>1771</v>
      </c>
      <c r="F7" s="39" t="s">
        <v>64</v>
      </c>
      <c r="G7" s="39" t="s">
        <v>3304</v>
      </c>
      <c r="H7" s="39" t="s">
        <v>3304</v>
      </c>
      <c r="L7" s="39" t="s">
        <v>2133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1.0</v>
      </c>
      <c r="V7" s="39">
        <v>0.0</v>
      </c>
      <c r="W7" s="39">
        <v>0.0</v>
      </c>
      <c r="X7" s="39">
        <v>0.0</v>
      </c>
      <c r="Y7" s="39">
        <v>0.0</v>
      </c>
      <c r="AE7" s="39">
        <v>1.0</v>
      </c>
    </row>
    <row r="8">
      <c r="A8" s="40" t="s">
        <v>3262</v>
      </c>
      <c r="B8" s="39" t="s">
        <v>3263</v>
      </c>
      <c r="C8" s="39" t="s">
        <v>3305</v>
      </c>
      <c r="D8" s="39" t="s">
        <v>3296</v>
      </c>
      <c r="E8" s="39" t="s">
        <v>1771</v>
      </c>
      <c r="F8" s="39" t="s">
        <v>64</v>
      </c>
      <c r="G8" s="39" t="s">
        <v>3306</v>
      </c>
      <c r="H8" s="39" t="s">
        <v>3306</v>
      </c>
      <c r="L8" s="39" t="s">
        <v>2126</v>
      </c>
      <c r="N8" s="39" t="s">
        <v>67</v>
      </c>
      <c r="O8" s="39" t="s">
        <v>67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E8" s="39">
        <v>1.0</v>
      </c>
    </row>
    <row r="9">
      <c r="A9" s="39" t="s">
        <v>3307</v>
      </c>
      <c r="B9" s="39" t="s">
        <v>3263</v>
      </c>
      <c r="C9" s="39" t="s">
        <v>3305</v>
      </c>
      <c r="D9" s="39" t="s">
        <v>3296</v>
      </c>
      <c r="E9" s="39" t="s">
        <v>1771</v>
      </c>
      <c r="F9" s="39" t="s">
        <v>64</v>
      </c>
      <c r="G9" s="39" t="s">
        <v>3308</v>
      </c>
      <c r="H9" s="39" t="s">
        <v>3308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1.0</v>
      </c>
      <c r="W9" s="39">
        <v>0.0</v>
      </c>
      <c r="X9" s="39">
        <v>1.0</v>
      </c>
      <c r="Y9" s="39">
        <v>1.0</v>
      </c>
      <c r="Z9" s="30" t="s">
        <v>2710</v>
      </c>
      <c r="AA9" s="30" t="s">
        <v>70</v>
      </c>
      <c r="AE9" s="39">
        <v>1.0</v>
      </c>
    </row>
    <row r="10">
      <c r="A10" s="39" t="s">
        <v>3309</v>
      </c>
      <c r="B10" s="39" t="s">
        <v>3263</v>
      </c>
      <c r="C10" s="39" t="s">
        <v>3305</v>
      </c>
      <c r="D10" s="39" t="s">
        <v>3296</v>
      </c>
      <c r="E10" s="39" t="s">
        <v>1771</v>
      </c>
      <c r="F10" s="39" t="s">
        <v>64</v>
      </c>
      <c r="G10" s="39" t="s">
        <v>3310</v>
      </c>
      <c r="H10" s="39" t="s">
        <v>3310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E10" s="39">
        <v>1.0</v>
      </c>
    </row>
    <row r="11">
      <c r="A11" s="39" t="s">
        <v>3311</v>
      </c>
      <c r="B11" s="39" t="s">
        <v>3263</v>
      </c>
      <c r="C11" s="39" t="s">
        <v>3305</v>
      </c>
      <c r="D11" s="39" t="s">
        <v>3296</v>
      </c>
      <c r="E11" s="39" t="s">
        <v>1771</v>
      </c>
      <c r="F11" s="39" t="s">
        <v>64</v>
      </c>
      <c r="G11" s="39" t="s">
        <v>3312</v>
      </c>
      <c r="H11" s="39" t="s">
        <v>3312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E11" s="39">
        <v>1.0</v>
      </c>
    </row>
    <row r="12">
      <c r="A12" s="40" t="s">
        <v>2129</v>
      </c>
      <c r="D12" s="39" t="s">
        <v>3296</v>
      </c>
      <c r="E12" s="39" t="s">
        <v>1771</v>
      </c>
      <c r="F12" s="39" t="s">
        <v>64</v>
      </c>
      <c r="G12" s="39" t="s">
        <v>3313</v>
      </c>
      <c r="H12" s="39" t="s">
        <v>3313</v>
      </c>
      <c r="L12" s="39" t="s">
        <v>2126</v>
      </c>
      <c r="N12" s="39" t="s">
        <v>67</v>
      </c>
      <c r="O12" s="39" t="s">
        <v>67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E12" s="39">
        <v>1.0</v>
      </c>
    </row>
    <row r="13">
      <c r="A13" s="39" t="s">
        <v>3272</v>
      </c>
      <c r="D13" s="39" t="s">
        <v>3296</v>
      </c>
      <c r="E13" s="39" t="s">
        <v>1771</v>
      </c>
      <c r="F13" s="39" t="s">
        <v>64</v>
      </c>
      <c r="G13" s="39" t="s">
        <v>3314</v>
      </c>
      <c r="H13" s="39" t="s">
        <v>3314</v>
      </c>
      <c r="L13" s="39" t="s">
        <v>2133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E13" s="39">
        <v>1.0</v>
      </c>
    </row>
    <row r="14">
      <c r="A14" s="40" t="s">
        <v>3315</v>
      </c>
      <c r="B14" s="39" t="s">
        <v>3253</v>
      </c>
      <c r="C14" s="39" t="s">
        <v>3254</v>
      </c>
      <c r="D14" s="39" t="s">
        <v>3296</v>
      </c>
      <c r="E14" s="39" t="s">
        <v>1771</v>
      </c>
      <c r="F14" s="39" t="s">
        <v>64</v>
      </c>
      <c r="G14" s="39" t="s">
        <v>3316</v>
      </c>
      <c r="H14" s="39" t="s">
        <v>3316</v>
      </c>
      <c r="L14" s="39" t="s">
        <v>2126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E14" s="39">
        <v>1.0</v>
      </c>
    </row>
    <row r="15">
      <c r="A15" s="39" t="s">
        <v>3317</v>
      </c>
      <c r="B15" s="39" t="s">
        <v>3253</v>
      </c>
      <c r="C15" s="39" t="s">
        <v>3254</v>
      </c>
      <c r="D15" s="39" t="s">
        <v>3296</v>
      </c>
      <c r="E15" s="39" t="s">
        <v>1771</v>
      </c>
      <c r="F15" s="39" t="s">
        <v>64</v>
      </c>
      <c r="G15" s="39" t="s">
        <v>3318</v>
      </c>
      <c r="H15" s="39" t="s">
        <v>3318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1.0</v>
      </c>
      <c r="W15" s="39">
        <v>0.0</v>
      </c>
      <c r="X15" s="39">
        <v>1.0</v>
      </c>
      <c r="Y15" s="39">
        <v>0.0</v>
      </c>
      <c r="Z15" s="30" t="s">
        <v>1999</v>
      </c>
      <c r="AA15" s="30" t="s">
        <v>115</v>
      </c>
      <c r="AE15" s="39">
        <v>1.0</v>
      </c>
    </row>
    <row r="16">
      <c r="A16" s="39" t="s">
        <v>3319</v>
      </c>
      <c r="B16" s="39" t="s">
        <v>3253</v>
      </c>
      <c r="C16" s="39" t="s">
        <v>3254</v>
      </c>
      <c r="D16" s="39" t="s">
        <v>3296</v>
      </c>
      <c r="E16" s="39" t="s">
        <v>1771</v>
      </c>
      <c r="F16" s="39" t="s">
        <v>64</v>
      </c>
      <c r="G16" s="39" t="s">
        <v>2508</v>
      </c>
      <c r="H16" s="39" t="s">
        <v>2508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E16" s="39">
        <v>1.0</v>
      </c>
    </row>
    <row r="17">
      <c r="A17" s="39" t="s">
        <v>3320</v>
      </c>
      <c r="B17" s="39" t="s">
        <v>3253</v>
      </c>
      <c r="C17" s="39" t="s">
        <v>3254</v>
      </c>
      <c r="D17" s="39" t="s">
        <v>3296</v>
      </c>
      <c r="E17" s="39" t="s">
        <v>1771</v>
      </c>
      <c r="F17" s="39" t="s">
        <v>64</v>
      </c>
      <c r="G17" s="39" t="s">
        <v>3321</v>
      </c>
      <c r="H17" s="39" t="s">
        <v>3321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E17" s="39">
        <v>1.0</v>
      </c>
    </row>
    <row r="18">
      <c r="A18" s="40" t="s">
        <v>2129</v>
      </c>
      <c r="D18" s="39" t="s">
        <v>3296</v>
      </c>
      <c r="E18" s="39" t="s">
        <v>1771</v>
      </c>
      <c r="F18" s="39" t="s">
        <v>64</v>
      </c>
      <c r="G18" s="39" t="s">
        <v>3322</v>
      </c>
      <c r="H18" s="39" t="s">
        <v>3322</v>
      </c>
      <c r="L18" s="39" t="s">
        <v>2126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E18" s="39">
        <v>1.0</v>
      </c>
    </row>
    <row r="19">
      <c r="A19" s="39" t="s">
        <v>3323</v>
      </c>
      <c r="D19" s="39" t="s">
        <v>3296</v>
      </c>
      <c r="E19" s="39" t="s">
        <v>1771</v>
      </c>
      <c r="F19" s="39" t="s">
        <v>64</v>
      </c>
      <c r="G19" s="39" t="s">
        <v>3324</v>
      </c>
      <c r="H19" s="39" t="s">
        <v>3324</v>
      </c>
      <c r="L19" s="39" t="s">
        <v>2133</v>
      </c>
      <c r="N19" s="39" t="s">
        <v>67</v>
      </c>
      <c r="O19" s="39" t="s">
        <v>81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E19" s="39">
        <v>1.0</v>
      </c>
    </row>
    <row r="20">
      <c r="A20" s="40" t="s">
        <v>3325</v>
      </c>
      <c r="B20" s="39" t="s">
        <v>3243</v>
      </c>
      <c r="C20" s="39" t="s">
        <v>3244</v>
      </c>
      <c r="D20" s="39" t="s">
        <v>3296</v>
      </c>
      <c r="E20" s="39" t="s">
        <v>1771</v>
      </c>
      <c r="F20" s="39" t="s">
        <v>64</v>
      </c>
      <c r="G20" s="39" t="s">
        <v>3326</v>
      </c>
      <c r="H20" s="39" t="s">
        <v>3326</v>
      </c>
      <c r="L20" s="39" t="s">
        <v>2126</v>
      </c>
      <c r="N20" s="39" t="s">
        <v>67</v>
      </c>
      <c r="O20" s="39" t="s">
        <v>67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E20" s="39">
        <v>1.0</v>
      </c>
    </row>
    <row r="21">
      <c r="A21" s="39" t="s">
        <v>3327</v>
      </c>
      <c r="B21" s="39" t="s">
        <v>3243</v>
      </c>
      <c r="C21" s="39" t="s">
        <v>3244</v>
      </c>
      <c r="D21" s="39" t="s">
        <v>3296</v>
      </c>
      <c r="E21" s="39" t="s">
        <v>1771</v>
      </c>
      <c r="F21" s="39" t="s">
        <v>64</v>
      </c>
      <c r="G21" s="39" t="s">
        <v>3328</v>
      </c>
      <c r="H21" s="39" t="s">
        <v>3328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1.0</v>
      </c>
      <c r="W21" s="39">
        <v>0.0</v>
      </c>
      <c r="X21" s="39">
        <v>2.0</v>
      </c>
      <c r="Y21" s="39">
        <v>2.0</v>
      </c>
      <c r="Z21" s="30" t="s">
        <v>3329</v>
      </c>
      <c r="AA21" s="30" t="s">
        <v>2086</v>
      </c>
      <c r="AE21" s="39">
        <v>1.0</v>
      </c>
    </row>
    <row r="22">
      <c r="A22" s="39" t="s">
        <v>3330</v>
      </c>
      <c r="B22" s="39" t="s">
        <v>3243</v>
      </c>
      <c r="C22" s="39" t="s">
        <v>3244</v>
      </c>
      <c r="D22" s="39" t="s">
        <v>3296</v>
      </c>
      <c r="E22" s="39" t="s">
        <v>1771</v>
      </c>
      <c r="F22" s="39" t="s">
        <v>64</v>
      </c>
      <c r="G22" s="39" t="s">
        <v>3331</v>
      </c>
      <c r="H22" s="39" t="s">
        <v>3331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E22" s="39">
        <v>1.0</v>
      </c>
    </row>
    <row r="23">
      <c r="A23" s="39" t="s">
        <v>3332</v>
      </c>
      <c r="B23" s="39" t="s">
        <v>3243</v>
      </c>
      <c r="C23" s="39" t="s">
        <v>3244</v>
      </c>
      <c r="D23" s="39" t="s">
        <v>3296</v>
      </c>
      <c r="E23" s="39" t="s">
        <v>1771</v>
      </c>
      <c r="F23" s="39" t="s">
        <v>64</v>
      </c>
      <c r="G23" s="39" t="s">
        <v>2480</v>
      </c>
      <c r="H23" s="39" t="s">
        <v>2480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E23" s="39">
        <v>1.0</v>
      </c>
    </row>
    <row r="24">
      <c r="A24" s="39" t="s">
        <v>2129</v>
      </c>
      <c r="D24" s="39" t="s">
        <v>3296</v>
      </c>
      <c r="E24" s="39" t="s">
        <v>1771</v>
      </c>
      <c r="F24" s="39" t="s">
        <v>64</v>
      </c>
      <c r="G24" s="39" t="s">
        <v>3333</v>
      </c>
      <c r="H24" s="39" t="s">
        <v>3333</v>
      </c>
      <c r="L24" s="39" t="s">
        <v>2126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E24" s="39">
        <v>1.0</v>
      </c>
    </row>
    <row r="25">
      <c r="A25" s="39" t="s">
        <v>3250</v>
      </c>
      <c r="D25" s="39" t="s">
        <v>3296</v>
      </c>
      <c r="E25" s="39" t="s">
        <v>1771</v>
      </c>
      <c r="F25" s="39" t="s">
        <v>64</v>
      </c>
      <c r="G25" s="39" t="s">
        <v>3334</v>
      </c>
      <c r="H25" s="39" t="s">
        <v>3334</v>
      </c>
      <c r="L25" s="39" t="s">
        <v>2133</v>
      </c>
      <c r="N25" s="39" t="s">
        <v>67</v>
      </c>
      <c r="O25" s="39" t="s">
        <v>67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E25" s="39">
        <v>1.0</v>
      </c>
    </row>
    <row r="26">
      <c r="A26" s="39" t="s">
        <v>2542</v>
      </c>
      <c r="D26" s="39" t="s">
        <v>3296</v>
      </c>
      <c r="E26" s="39" t="s">
        <v>1771</v>
      </c>
      <c r="F26" s="39" t="s">
        <v>64</v>
      </c>
      <c r="G26" s="39" t="s">
        <v>3335</v>
      </c>
      <c r="H26" s="39" t="s">
        <v>3335</v>
      </c>
      <c r="L26" s="39" t="s">
        <v>2126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E26" s="39">
        <v>1.0</v>
      </c>
    </row>
    <row r="27">
      <c r="A27" s="39" t="s">
        <v>3336</v>
      </c>
      <c r="D27" s="39" t="s">
        <v>3296</v>
      </c>
      <c r="E27" s="39" t="s">
        <v>1771</v>
      </c>
      <c r="F27" s="39" t="s">
        <v>64</v>
      </c>
      <c r="G27" s="39" t="s">
        <v>3337</v>
      </c>
      <c r="H27" s="39" t="s">
        <v>3337</v>
      </c>
      <c r="L27" s="39" t="s">
        <v>1716</v>
      </c>
      <c r="N27" s="39" t="s">
        <v>67</v>
      </c>
      <c r="O27" s="39" t="s">
        <v>81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E27" s="39">
        <v>1.0</v>
      </c>
    </row>
    <row r="28">
      <c r="A28" s="40" t="s">
        <v>3338</v>
      </c>
      <c r="D28" s="39" t="s">
        <v>3296</v>
      </c>
      <c r="E28" s="39" t="s">
        <v>1771</v>
      </c>
      <c r="F28" s="39" t="s">
        <v>64</v>
      </c>
      <c r="G28" s="39" t="s">
        <v>3339</v>
      </c>
      <c r="H28" s="39" t="s">
        <v>3339</v>
      </c>
      <c r="L28" s="39" t="s">
        <v>2126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E28" s="39">
        <v>1.0</v>
      </c>
    </row>
    <row r="29">
      <c r="A29" s="40" t="s">
        <v>3340</v>
      </c>
      <c r="B29" s="39" t="s">
        <v>343</v>
      </c>
      <c r="C29" s="39" t="s">
        <v>3341</v>
      </c>
      <c r="D29" s="39" t="s">
        <v>3296</v>
      </c>
      <c r="E29" s="39" t="s">
        <v>1771</v>
      </c>
      <c r="F29" s="39" t="s">
        <v>64</v>
      </c>
      <c r="G29" s="39" t="s">
        <v>3342</v>
      </c>
      <c r="H29" s="39" t="s">
        <v>3342</v>
      </c>
      <c r="N29" s="39" t="s">
        <v>67</v>
      </c>
      <c r="O29" s="39" t="s">
        <v>68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1.0</v>
      </c>
      <c r="W29" s="39">
        <v>0.0</v>
      </c>
      <c r="X29" s="39">
        <v>0.0</v>
      </c>
      <c r="Y29" s="39">
        <v>0.0</v>
      </c>
      <c r="AE29" s="39">
        <v>1.0</v>
      </c>
    </row>
    <row r="30">
      <c r="A30" s="40" t="s">
        <v>3343</v>
      </c>
      <c r="B30" s="39" t="s">
        <v>343</v>
      </c>
      <c r="C30" s="39" t="s">
        <v>3341</v>
      </c>
      <c r="D30" s="39" t="s">
        <v>3296</v>
      </c>
      <c r="E30" s="39" t="s">
        <v>1771</v>
      </c>
      <c r="F30" s="39" t="s">
        <v>64</v>
      </c>
      <c r="G30" s="39" t="s">
        <v>3344</v>
      </c>
      <c r="H30" s="39" t="s">
        <v>3344</v>
      </c>
      <c r="N30" s="39" t="s">
        <v>67</v>
      </c>
      <c r="O30" s="39" t="s">
        <v>81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1.0</v>
      </c>
      <c r="W30" s="39">
        <v>0.0</v>
      </c>
      <c r="X30" s="39">
        <v>0.0</v>
      </c>
      <c r="Y30" s="39">
        <v>1.0</v>
      </c>
      <c r="Z30" s="30" t="s">
        <v>1979</v>
      </c>
      <c r="AA30" s="30" t="s">
        <v>97</v>
      </c>
      <c r="AE30" s="39">
        <v>1.0</v>
      </c>
    </row>
    <row r="31">
      <c r="A31" s="40" t="s">
        <v>3345</v>
      </c>
      <c r="B31" s="39" t="s">
        <v>1755</v>
      </c>
      <c r="C31" s="39" t="s">
        <v>3346</v>
      </c>
      <c r="D31" s="39" t="s">
        <v>3296</v>
      </c>
      <c r="E31" s="39" t="s">
        <v>1771</v>
      </c>
      <c r="F31" s="39" t="s">
        <v>64</v>
      </c>
      <c r="G31" s="39" t="s">
        <v>3347</v>
      </c>
      <c r="H31" s="39" t="s">
        <v>3347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1.0</v>
      </c>
      <c r="W31" s="39">
        <v>0.0</v>
      </c>
      <c r="X31" s="39">
        <v>0.0</v>
      </c>
      <c r="Y31" s="39">
        <v>1.0</v>
      </c>
      <c r="Z31" s="30" t="s">
        <v>3348</v>
      </c>
      <c r="AA31" s="30" t="s">
        <v>97</v>
      </c>
      <c r="AE31" s="39">
        <v>1.0</v>
      </c>
    </row>
    <row r="32">
      <c r="A32" s="40" t="s">
        <v>3349</v>
      </c>
      <c r="B32" s="39" t="s">
        <v>1755</v>
      </c>
      <c r="C32" s="39" t="s">
        <v>3346</v>
      </c>
      <c r="D32" s="39" t="s">
        <v>3296</v>
      </c>
      <c r="E32" s="39" t="s">
        <v>1771</v>
      </c>
      <c r="F32" s="39" t="s">
        <v>64</v>
      </c>
      <c r="G32" s="39" t="s">
        <v>3350</v>
      </c>
      <c r="H32" s="39" t="s">
        <v>3350</v>
      </c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1.0</v>
      </c>
      <c r="W32" s="39">
        <v>1.0</v>
      </c>
      <c r="X32" s="39">
        <v>0.0</v>
      </c>
      <c r="Y32" s="39">
        <v>1.0</v>
      </c>
      <c r="Z32" s="30" t="s">
        <v>3351</v>
      </c>
      <c r="AA32" s="30" t="s">
        <v>97</v>
      </c>
      <c r="AE32" s="39">
        <v>1.0</v>
      </c>
    </row>
    <row r="33">
      <c r="A33" s="40" t="s">
        <v>3352</v>
      </c>
      <c r="B33" s="39" t="s">
        <v>1755</v>
      </c>
      <c r="C33" s="39" t="s">
        <v>3346</v>
      </c>
      <c r="D33" s="39" t="s">
        <v>3296</v>
      </c>
      <c r="E33" s="39" t="s">
        <v>1771</v>
      </c>
      <c r="F33" s="39" t="s">
        <v>64</v>
      </c>
      <c r="G33" s="39" t="s">
        <v>3353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1.0</v>
      </c>
      <c r="W33" s="39">
        <v>0.0</v>
      </c>
      <c r="X33" s="39">
        <v>0.0</v>
      </c>
      <c r="Y33" s="39">
        <v>0.0</v>
      </c>
      <c r="AE33" s="39">
        <v>1.0</v>
      </c>
    </row>
    <row r="34">
      <c r="A34" s="40" t="s">
        <v>3354</v>
      </c>
      <c r="B34" s="39" t="s">
        <v>1755</v>
      </c>
      <c r="C34" s="39" t="s">
        <v>3346</v>
      </c>
      <c r="D34" s="39" t="s">
        <v>3296</v>
      </c>
      <c r="E34" s="39" t="s">
        <v>1771</v>
      </c>
      <c r="F34" s="39" t="s">
        <v>64</v>
      </c>
      <c r="G34" s="39" t="s">
        <v>3355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1.0</v>
      </c>
      <c r="W34" s="39">
        <v>0.0</v>
      </c>
      <c r="X34" s="39">
        <v>0.0</v>
      </c>
      <c r="Y34" s="39">
        <v>0.0</v>
      </c>
      <c r="AE34" s="39">
        <v>1.0</v>
      </c>
    </row>
    <row r="35">
      <c r="A35" s="39" t="s">
        <v>1779</v>
      </c>
      <c r="D35" s="39" t="s">
        <v>3296</v>
      </c>
      <c r="E35" s="39" t="s">
        <v>1771</v>
      </c>
      <c r="F35" s="39" t="s">
        <v>64</v>
      </c>
      <c r="G35" s="39" t="s">
        <v>1780</v>
      </c>
      <c r="H35" s="39" t="s">
        <v>1780</v>
      </c>
      <c r="I35" s="40">
        <v>44.702</v>
      </c>
      <c r="L35" s="39" t="s">
        <v>1716</v>
      </c>
      <c r="N35" s="39" t="s">
        <v>67</v>
      </c>
      <c r="O35" s="39" t="s">
        <v>81</v>
      </c>
      <c r="Q35" s="39">
        <v>0.0</v>
      </c>
      <c r="R35" s="39">
        <v>0.0</v>
      </c>
      <c r="S35" s="39">
        <v>1.0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AC35" s="39">
        <v>250.0</v>
      </c>
      <c r="AE35" s="39">
        <v>1.0</v>
      </c>
    </row>
    <row r="36">
      <c r="A36" s="39" t="s">
        <v>1781</v>
      </c>
      <c r="D36" s="39" t="s">
        <v>3296</v>
      </c>
      <c r="E36" s="39" t="s">
        <v>1771</v>
      </c>
      <c r="F36" s="39" t="s">
        <v>64</v>
      </c>
      <c r="G36" s="39" t="s">
        <v>1782</v>
      </c>
      <c r="H36" s="39" t="s">
        <v>1782</v>
      </c>
      <c r="I36" s="40">
        <v>45.702</v>
      </c>
      <c r="L36" s="39" t="s">
        <v>102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AC36" s="39">
        <v>550.0</v>
      </c>
      <c r="AE36" s="39">
        <v>1.0</v>
      </c>
    </row>
    <row r="37">
      <c r="A37" s="39" t="s">
        <v>1783</v>
      </c>
      <c r="D37" s="39" t="s">
        <v>3296</v>
      </c>
      <c r="E37" s="39" t="s">
        <v>1771</v>
      </c>
      <c r="F37" s="39" t="s">
        <v>64</v>
      </c>
      <c r="G37" s="39" t="s">
        <v>1784</v>
      </c>
      <c r="H37" s="39" t="s">
        <v>1784</v>
      </c>
      <c r="I37" s="40">
        <v>46.602</v>
      </c>
      <c r="L37" s="39" t="s">
        <v>102</v>
      </c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900.0</v>
      </c>
      <c r="AE37" s="39">
        <v>1.0</v>
      </c>
    </row>
    <row r="38">
      <c r="A38" s="39" t="s">
        <v>1785</v>
      </c>
      <c r="B38" s="39" t="s">
        <v>1741</v>
      </c>
      <c r="C38" s="39" t="s">
        <v>1742</v>
      </c>
      <c r="D38" s="39" t="s">
        <v>3296</v>
      </c>
      <c r="E38" s="39" t="s">
        <v>1771</v>
      </c>
      <c r="F38" s="39" t="s">
        <v>64</v>
      </c>
      <c r="G38" s="39" t="s">
        <v>1786</v>
      </c>
      <c r="H38" s="39" t="s">
        <v>1786</v>
      </c>
      <c r="I38" s="40">
        <v>47.602</v>
      </c>
      <c r="L38" s="39" t="s">
        <v>66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1.0</v>
      </c>
      <c r="W38" s="39">
        <v>0.0</v>
      </c>
      <c r="X38" s="39">
        <v>1.0</v>
      </c>
      <c r="Y38" s="39">
        <v>0.0</v>
      </c>
      <c r="Z38" s="30" t="s">
        <v>1787</v>
      </c>
      <c r="AA38" s="30" t="s">
        <v>115</v>
      </c>
      <c r="AC38" s="39">
        <v>700.0</v>
      </c>
      <c r="AE38" s="39">
        <v>1.0</v>
      </c>
    </row>
    <row r="39">
      <c r="A39" s="39" t="s">
        <v>1788</v>
      </c>
      <c r="B39" s="39" t="s">
        <v>1741</v>
      </c>
      <c r="C39" s="39" t="s">
        <v>1742</v>
      </c>
      <c r="D39" s="39" t="s">
        <v>3296</v>
      </c>
      <c r="E39" s="39" t="s">
        <v>1771</v>
      </c>
      <c r="F39" s="39" t="s">
        <v>64</v>
      </c>
      <c r="G39" s="39" t="s">
        <v>1789</v>
      </c>
      <c r="H39" s="39" t="s">
        <v>1789</v>
      </c>
      <c r="I39" s="40">
        <v>48.80199999999999</v>
      </c>
      <c r="L39" s="39" t="s">
        <v>66</v>
      </c>
      <c r="N39" s="39" t="s">
        <v>67</v>
      </c>
      <c r="O39" s="39" t="s">
        <v>68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900.0</v>
      </c>
      <c r="AE39" s="39">
        <v>1.0</v>
      </c>
    </row>
    <row r="40">
      <c r="A40" s="39" t="s">
        <v>1790</v>
      </c>
      <c r="B40" s="39" t="s">
        <v>1741</v>
      </c>
      <c r="C40" s="39" t="s">
        <v>1742</v>
      </c>
      <c r="D40" s="39" t="s">
        <v>3296</v>
      </c>
      <c r="E40" s="39" t="s">
        <v>1771</v>
      </c>
      <c r="F40" s="39" t="s">
        <v>64</v>
      </c>
      <c r="G40" s="39" t="s">
        <v>1691</v>
      </c>
      <c r="N40" s="39" t="s">
        <v>67</v>
      </c>
      <c r="O40" s="39" t="s">
        <v>68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250.0</v>
      </c>
      <c r="AE40" s="39">
        <v>1.0</v>
      </c>
    </row>
    <row r="41">
      <c r="A41" s="39" t="s">
        <v>1791</v>
      </c>
      <c r="B41" s="39" t="s">
        <v>1741</v>
      </c>
      <c r="C41" s="39" t="s">
        <v>1742</v>
      </c>
      <c r="D41" s="39" t="s">
        <v>3296</v>
      </c>
      <c r="E41" s="39" t="s">
        <v>1771</v>
      </c>
      <c r="F41" s="39" t="s">
        <v>64</v>
      </c>
      <c r="G41" s="39" t="s">
        <v>1792</v>
      </c>
      <c r="H41" s="39" t="s">
        <v>1792</v>
      </c>
      <c r="I41" s="40">
        <v>49.30199999999999</v>
      </c>
      <c r="L41" s="39" t="s">
        <v>66</v>
      </c>
      <c r="N41" s="39" t="s">
        <v>67</v>
      </c>
      <c r="O41" s="39" t="s">
        <v>68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950.0</v>
      </c>
      <c r="AE41" s="39">
        <v>1.0</v>
      </c>
    </row>
    <row r="42">
      <c r="A42" s="39" t="s">
        <v>1793</v>
      </c>
      <c r="D42" s="39" t="s">
        <v>3296</v>
      </c>
      <c r="E42" s="39" t="s">
        <v>1771</v>
      </c>
      <c r="F42" s="39" t="s">
        <v>64</v>
      </c>
      <c r="G42" s="39" t="s">
        <v>1794</v>
      </c>
      <c r="H42" s="39" t="s">
        <v>1794</v>
      </c>
      <c r="I42" s="40">
        <v>50.202</v>
      </c>
      <c r="L42" s="39" t="s">
        <v>102</v>
      </c>
      <c r="N42" s="39" t="s">
        <v>67</v>
      </c>
      <c r="O42" s="39" t="s">
        <v>67</v>
      </c>
      <c r="Q42" s="39">
        <v>0.0</v>
      </c>
      <c r="R42" s="39">
        <v>0.0</v>
      </c>
      <c r="S42" s="39">
        <v>1.0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AC42" s="39">
        <v>550.0</v>
      </c>
      <c r="AE42" s="39">
        <v>1.0</v>
      </c>
    </row>
    <row r="43">
      <c r="A43" s="39" t="s">
        <v>1795</v>
      </c>
      <c r="D43" s="39" t="s">
        <v>3296</v>
      </c>
      <c r="E43" s="39" t="s">
        <v>1771</v>
      </c>
      <c r="F43" s="39" t="s">
        <v>64</v>
      </c>
      <c r="G43" s="39" t="s">
        <v>1796</v>
      </c>
      <c r="H43" s="39" t="s">
        <v>1796</v>
      </c>
      <c r="I43" s="40">
        <v>50.901999999999994</v>
      </c>
      <c r="L43" s="39" t="s">
        <v>102</v>
      </c>
      <c r="N43" s="39" t="s">
        <v>67</v>
      </c>
      <c r="O43" s="39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AC43" s="39">
        <v>600.0</v>
      </c>
      <c r="AE43" s="39">
        <v>1.0</v>
      </c>
    </row>
    <row r="44">
      <c r="A44" s="39" t="s">
        <v>1797</v>
      </c>
      <c r="D44" s="39" t="s">
        <v>3296</v>
      </c>
      <c r="E44" s="39" t="s">
        <v>1771</v>
      </c>
      <c r="F44" s="39" t="s">
        <v>64</v>
      </c>
      <c r="G44" s="39" t="s">
        <v>1798</v>
      </c>
      <c r="H44" s="39" t="s">
        <v>1798</v>
      </c>
      <c r="I44" s="40">
        <v>51.80199999999999</v>
      </c>
      <c r="L44" s="39" t="s">
        <v>102</v>
      </c>
      <c r="N44" s="39" t="s">
        <v>67</v>
      </c>
      <c r="O44" s="39" t="s">
        <v>68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900.0</v>
      </c>
      <c r="AE44" s="39">
        <v>1.0</v>
      </c>
    </row>
    <row r="45">
      <c r="A45" s="39" t="s">
        <v>1732</v>
      </c>
      <c r="D45" s="39" t="s">
        <v>3296</v>
      </c>
      <c r="E45" s="39" t="s">
        <v>1771</v>
      </c>
      <c r="F45" s="39" t="s">
        <v>64</v>
      </c>
      <c r="G45" s="39" t="s">
        <v>1799</v>
      </c>
      <c r="H45" s="39" t="s">
        <v>1799</v>
      </c>
      <c r="I45" s="40">
        <v>52.602</v>
      </c>
      <c r="L45" s="39" t="s">
        <v>1716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C45" s="39">
        <v>950.0</v>
      </c>
      <c r="AE45" s="39">
        <v>1.0</v>
      </c>
    </row>
    <row r="46">
      <c r="A46" s="39" t="s">
        <v>1800</v>
      </c>
      <c r="D46" s="39" t="s">
        <v>3296</v>
      </c>
      <c r="E46" s="39" t="s">
        <v>1771</v>
      </c>
      <c r="F46" s="39" t="s">
        <v>64</v>
      </c>
      <c r="G46" s="39" t="s">
        <v>1801</v>
      </c>
      <c r="H46" s="39" t="s">
        <v>1801</v>
      </c>
      <c r="I46" s="40">
        <v>53.602</v>
      </c>
      <c r="L46" s="39" t="s">
        <v>102</v>
      </c>
      <c r="N46" s="39" t="s">
        <v>67</v>
      </c>
      <c r="O46" s="39" t="s">
        <v>68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550.0</v>
      </c>
      <c r="AE46" s="39">
        <v>1.0</v>
      </c>
    </row>
    <row r="47">
      <c r="A47" s="39" t="s">
        <v>1802</v>
      </c>
      <c r="D47" s="39" t="s">
        <v>3296</v>
      </c>
      <c r="E47" s="39" t="s">
        <v>1771</v>
      </c>
      <c r="F47" s="39" t="s">
        <v>64</v>
      </c>
      <c r="G47" s="39" t="s">
        <v>1803</v>
      </c>
      <c r="H47" s="39" t="s">
        <v>1803</v>
      </c>
      <c r="I47" s="40">
        <v>54.602</v>
      </c>
      <c r="L47" s="39" t="s">
        <v>102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900.0</v>
      </c>
      <c r="AE47" s="39">
        <v>1.0</v>
      </c>
    </row>
    <row r="48">
      <c r="A48" s="39" t="s">
        <v>1804</v>
      </c>
      <c r="B48" s="39" t="s">
        <v>1718</v>
      </c>
      <c r="C48" s="39" t="s">
        <v>1719</v>
      </c>
      <c r="D48" s="39" t="s">
        <v>3296</v>
      </c>
      <c r="E48" s="39" t="s">
        <v>1771</v>
      </c>
      <c r="F48" s="39" t="s">
        <v>64</v>
      </c>
      <c r="G48" s="39" t="s">
        <v>1805</v>
      </c>
      <c r="H48" s="39" t="s">
        <v>1805</v>
      </c>
      <c r="I48" s="40">
        <v>55.602</v>
      </c>
      <c r="N48" s="39" t="s">
        <v>67</v>
      </c>
      <c r="O48" s="39" t="s">
        <v>68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30"/>
      <c r="AA48" s="30"/>
      <c r="AC48" s="39">
        <v>600.0</v>
      </c>
      <c r="AE48" s="39">
        <v>1.0</v>
      </c>
    </row>
    <row r="49">
      <c r="A49" s="39" t="s">
        <v>1806</v>
      </c>
      <c r="B49" s="39" t="s">
        <v>1718</v>
      </c>
      <c r="C49" s="39" t="s">
        <v>1719</v>
      </c>
      <c r="D49" s="39" t="s">
        <v>3296</v>
      </c>
      <c r="E49" s="39" t="s">
        <v>1771</v>
      </c>
      <c r="F49" s="39" t="s">
        <v>64</v>
      </c>
      <c r="G49" s="39" t="s">
        <v>1807</v>
      </c>
      <c r="H49" s="39" t="s">
        <v>1807</v>
      </c>
      <c r="I49" s="40">
        <v>56.102</v>
      </c>
      <c r="N49" s="39" t="s">
        <v>119</v>
      </c>
      <c r="O49" s="39" t="s">
        <v>67</v>
      </c>
      <c r="Q49" s="39">
        <v>0.0</v>
      </c>
      <c r="R49" s="39">
        <v>1.0</v>
      </c>
      <c r="S49" s="39">
        <v>0.0</v>
      </c>
      <c r="T49" s="39">
        <v>0.0</v>
      </c>
      <c r="U49" s="39">
        <v>0.0</v>
      </c>
      <c r="V49" s="39">
        <v>1.0</v>
      </c>
      <c r="W49" s="39">
        <v>0.0</v>
      </c>
      <c r="X49" s="39">
        <v>1.0</v>
      </c>
      <c r="Y49" s="39">
        <v>0.0</v>
      </c>
      <c r="Z49" s="30" t="s">
        <v>1787</v>
      </c>
      <c r="AA49" s="30" t="s">
        <v>115</v>
      </c>
      <c r="AC49" s="39">
        <v>1000.0</v>
      </c>
      <c r="AE49" s="39">
        <v>1.0</v>
      </c>
    </row>
    <row r="50">
      <c r="A50" s="39" t="s">
        <v>1808</v>
      </c>
      <c r="B50" s="39" t="s">
        <v>1718</v>
      </c>
      <c r="C50" s="39" t="s">
        <v>1719</v>
      </c>
      <c r="D50" s="39" t="s">
        <v>3296</v>
      </c>
      <c r="E50" s="39" t="s">
        <v>1771</v>
      </c>
      <c r="F50" s="39" t="s">
        <v>64</v>
      </c>
      <c r="G50" s="39" t="s">
        <v>1801</v>
      </c>
      <c r="H50" s="39" t="s">
        <v>1801</v>
      </c>
      <c r="L50" s="39" t="s">
        <v>66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700.0</v>
      </c>
      <c r="AE50" s="39">
        <v>1.0</v>
      </c>
    </row>
    <row r="51">
      <c r="A51" s="39" t="s">
        <v>1809</v>
      </c>
      <c r="B51" s="39" t="s">
        <v>1718</v>
      </c>
      <c r="C51" s="39" t="s">
        <v>1719</v>
      </c>
      <c r="D51" s="39" t="s">
        <v>3296</v>
      </c>
      <c r="E51" s="39" t="s">
        <v>1771</v>
      </c>
      <c r="F51" s="39" t="s">
        <v>64</v>
      </c>
      <c r="G51" s="39" t="s">
        <v>1803</v>
      </c>
      <c r="H51" s="39" t="s">
        <v>1803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200.0</v>
      </c>
      <c r="AE51" s="39">
        <v>1.0</v>
      </c>
    </row>
    <row r="52">
      <c r="A52" s="39" t="s">
        <v>1810</v>
      </c>
      <c r="B52" s="39" t="s">
        <v>1718</v>
      </c>
      <c r="C52" s="39" t="s">
        <v>1719</v>
      </c>
      <c r="D52" s="39" t="s">
        <v>3296</v>
      </c>
      <c r="E52" s="39" t="s">
        <v>1771</v>
      </c>
      <c r="F52" s="39" t="s">
        <v>64</v>
      </c>
      <c r="G52" s="39" t="s">
        <v>1811</v>
      </c>
      <c r="H52" s="39" t="s">
        <v>1811</v>
      </c>
      <c r="I52" s="40">
        <v>57.40199999999999</v>
      </c>
      <c r="L52" s="39" t="s">
        <v>66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900.0</v>
      </c>
      <c r="AE52" s="39">
        <v>1.0</v>
      </c>
    </row>
    <row r="53">
      <c r="A53" s="39" t="s">
        <v>1714</v>
      </c>
      <c r="D53" s="39" t="s">
        <v>3296</v>
      </c>
      <c r="E53" s="39" t="s">
        <v>1771</v>
      </c>
      <c r="F53" s="39" t="s">
        <v>64</v>
      </c>
      <c r="G53" s="39" t="s">
        <v>1812</v>
      </c>
      <c r="H53" s="39" t="s">
        <v>1812</v>
      </c>
      <c r="I53" s="40">
        <v>57.80199999999999</v>
      </c>
      <c r="L53" s="39" t="s">
        <v>1716</v>
      </c>
      <c r="N53" s="39" t="s">
        <v>67</v>
      </c>
      <c r="O53" s="39" t="s">
        <v>67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C53" s="39">
        <v>600.0</v>
      </c>
      <c r="AE53" s="39">
        <v>1.0</v>
      </c>
    </row>
    <row r="54">
      <c r="A54" s="39" t="s">
        <v>1813</v>
      </c>
      <c r="D54" s="39" t="s">
        <v>3296</v>
      </c>
      <c r="E54" s="39" t="s">
        <v>1771</v>
      </c>
      <c r="F54" s="39" t="s">
        <v>64</v>
      </c>
      <c r="G54" s="39" t="s">
        <v>1814</v>
      </c>
      <c r="H54" s="39" t="s">
        <v>1814</v>
      </c>
      <c r="I54" s="40">
        <v>58.60199999999999</v>
      </c>
      <c r="L54" s="39" t="s">
        <v>102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700.0</v>
      </c>
      <c r="AE54" s="39">
        <v>1.0</v>
      </c>
    </row>
    <row r="55">
      <c r="A55" s="39" t="s">
        <v>1815</v>
      </c>
      <c r="B55" s="39" t="s">
        <v>1699</v>
      </c>
      <c r="C55" s="39" t="s">
        <v>1700</v>
      </c>
      <c r="D55" s="39" t="s">
        <v>3296</v>
      </c>
      <c r="E55" s="39" t="s">
        <v>1771</v>
      </c>
      <c r="F55" s="39" t="s">
        <v>64</v>
      </c>
      <c r="G55" s="39" t="s">
        <v>1816</v>
      </c>
      <c r="H55" s="39" t="s">
        <v>1816</v>
      </c>
      <c r="I55" s="40">
        <v>59.90199999999999</v>
      </c>
      <c r="N55" s="39" t="s">
        <v>119</v>
      </c>
      <c r="O55" s="39" t="s">
        <v>68</v>
      </c>
      <c r="Q55" s="39">
        <v>0.0</v>
      </c>
      <c r="R55" s="39">
        <v>1.0</v>
      </c>
      <c r="S55" s="39">
        <v>0.0</v>
      </c>
      <c r="T55" s="39">
        <v>0.0</v>
      </c>
      <c r="U55" s="39">
        <v>0.0</v>
      </c>
      <c r="V55" s="39">
        <v>1.0</v>
      </c>
      <c r="W55" s="39">
        <v>0.0</v>
      </c>
      <c r="X55" s="39">
        <v>0.0</v>
      </c>
      <c r="Y55" s="39">
        <v>2.0</v>
      </c>
      <c r="Z55" s="30" t="s">
        <v>1817</v>
      </c>
      <c r="AA55" s="30" t="s">
        <v>315</v>
      </c>
      <c r="AC55" s="39">
        <v>650.0</v>
      </c>
      <c r="AE55" s="39">
        <v>1.0</v>
      </c>
    </row>
    <row r="56">
      <c r="A56" s="39" t="s">
        <v>1818</v>
      </c>
      <c r="B56" s="39" t="s">
        <v>1699</v>
      </c>
      <c r="C56" s="39" t="s">
        <v>1700</v>
      </c>
      <c r="D56" s="39" t="s">
        <v>3296</v>
      </c>
      <c r="E56" s="39" t="s">
        <v>1771</v>
      </c>
      <c r="F56" s="39" t="s">
        <v>64</v>
      </c>
      <c r="G56" s="39" t="s">
        <v>1819</v>
      </c>
      <c r="H56" s="39" t="s">
        <v>1819</v>
      </c>
      <c r="I56" s="40">
        <v>60.90199999999999</v>
      </c>
      <c r="N56" s="39" t="s">
        <v>67</v>
      </c>
      <c r="O56" s="39" t="s">
        <v>81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1.0</v>
      </c>
      <c r="W56" s="39">
        <v>0.0</v>
      </c>
      <c r="X56" s="39">
        <v>1.0</v>
      </c>
      <c r="Y56" s="39">
        <v>0.0</v>
      </c>
      <c r="Z56" s="2" t="s">
        <v>1787</v>
      </c>
      <c r="AA56" s="2" t="s">
        <v>115</v>
      </c>
      <c r="AC56" s="39">
        <v>700.0</v>
      </c>
      <c r="AE56" s="39">
        <v>1.0</v>
      </c>
    </row>
    <row r="57">
      <c r="A57" s="39" t="s">
        <v>1820</v>
      </c>
      <c r="B57" s="39" t="s">
        <v>1699</v>
      </c>
      <c r="C57" s="39" t="s">
        <v>1700</v>
      </c>
      <c r="D57" s="39" t="s">
        <v>3296</v>
      </c>
      <c r="E57" s="39" t="s">
        <v>1771</v>
      </c>
      <c r="F57" s="39" t="s">
        <v>64</v>
      </c>
      <c r="G57" s="39" t="s">
        <v>1821</v>
      </c>
      <c r="H57" s="39" t="s">
        <v>1821</v>
      </c>
      <c r="I57" s="40">
        <v>62.202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900.0</v>
      </c>
      <c r="AE57" s="39">
        <v>1.0</v>
      </c>
    </row>
    <row r="58">
      <c r="A58" s="39" t="s">
        <v>1822</v>
      </c>
      <c r="B58" s="39" t="s">
        <v>1699</v>
      </c>
      <c r="C58" s="39" t="s">
        <v>1700</v>
      </c>
      <c r="D58" s="39" t="s">
        <v>3296</v>
      </c>
      <c r="E58" s="39" t="s">
        <v>1771</v>
      </c>
      <c r="F58" s="39" t="s">
        <v>64</v>
      </c>
      <c r="G58" s="39" t="s">
        <v>1821</v>
      </c>
      <c r="H58" s="39" t="s">
        <v>1821</v>
      </c>
      <c r="I58" s="40">
        <v>63.301999999999985</v>
      </c>
      <c r="N58" s="39" t="s">
        <v>67</v>
      </c>
      <c r="O58" s="39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210.0</v>
      </c>
      <c r="AE58" s="39">
        <v>1.0</v>
      </c>
    </row>
    <row r="59">
      <c r="A59" s="39" t="s">
        <v>1823</v>
      </c>
      <c r="B59" s="39" t="s">
        <v>1699</v>
      </c>
      <c r="C59" s="39" t="s">
        <v>1700</v>
      </c>
      <c r="D59" s="39" t="s">
        <v>3296</v>
      </c>
      <c r="E59" s="39" t="s">
        <v>1771</v>
      </c>
      <c r="F59" s="39" t="s">
        <v>64</v>
      </c>
      <c r="G59" s="39" t="s">
        <v>1824</v>
      </c>
      <c r="N59" s="39" t="s">
        <v>67</v>
      </c>
      <c r="O59" s="39" t="s">
        <v>68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AE59" s="39">
        <v>1.0</v>
      </c>
    </row>
    <row r="60">
      <c r="A60" s="39" t="s">
        <v>1825</v>
      </c>
      <c r="B60" s="39" t="s">
        <v>1699</v>
      </c>
      <c r="C60" s="39" t="s">
        <v>1700</v>
      </c>
      <c r="D60" s="39" t="s">
        <v>3296</v>
      </c>
      <c r="E60" s="39" t="s">
        <v>1771</v>
      </c>
      <c r="F60" s="39" t="s">
        <v>64</v>
      </c>
      <c r="G60" s="39" t="s">
        <v>1826</v>
      </c>
      <c r="H60" s="39" t="s">
        <v>1826</v>
      </c>
      <c r="I60" s="40">
        <v>63.801999999999985</v>
      </c>
      <c r="N60" s="39" t="s">
        <v>67</v>
      </c>
      <c r="O60" s="39" t="s">
        <v>68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1000.0</v>
      </c>
      <c r="AE60" s="39">
        <v>1.0</v>
      </c>
    </row>
    <row r="61">
      <c r="A61" s="39" t="s">
        <v>1827</v>
      </c>
      <c r="D61" s="39" t="s">
        <v>3296</v>
      </c>
      <c r="E61" s="39" t="s">
        <v>1771</v>
      </c>
      <c r="F61" s="39" t="s">
        <v>64</v>
      </c>
      <c r="G61" s="39" t="s">
        <v>1828</v>
      </c>
      <c r="H61" s="39" t="s">
        <v>1828</v>
      </c>
      <c r="I61" s="40">
        <v>64.90199999999999</v>
      </c>
      <c r="L61" s="39" t="s">
        <v>102</v>
      </c>
      <c r="N61" s="39" t="s">
        <v>67</v>
      </c>
      <c r="O61" s="39" t="s">
        <v>68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900.0</v>
      </c>
      <c r="AE61" s="39">
        <v>1.0</v>
      </c>
    </row>
    <row r="62">
      <c r="A62" s="39" t="s">
        <v>1829</v>
      </c>
      <c r="D62" s="39" t="s">
        <v>3296</v>
      </c>
      <c r="E62" s="39" t="s">
        <v>1771</v>
      </c>
      <c r="F62" s="39" t="s">
        <v>64</v>
      </c>
      <c r="G62" s="39" t="s">
        <v>1830</v>
      </c>
      <c r="H62" s="39" t="s">
        <v>1830</v>
      </c>
      <c r="I62" s="40">
        <v>65.80199999999999</v>
      </c>
      <c r="L62" s="39" t="s">
        <v>102</v>
      </c>
      <c r="N62" s="39" t="s">
        <v>67</v>
      </c>
      <c r="O62" s="39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600.0</v>
      </c>
      <c r="AE62" s="39">
        <v>1.0</v>
      </c>
    </row>
    <row r="63">
      <c r="A63" s="39" t="s">
        <v>1831</v>
      </c>
      <c r="B63" s="39" t="s">
        <v>1417</v>
      </c>
      <c r="C63" s="39" t="s">
        <v>1418</v>
      </c>
      <c r="D63" s="39" t="s">
        <v>3296</v>
      </c>
      <c r="E63" s="39" t="s">
        <v>1771</v>
      </c>
      <c r="F63" s="39" t="s">
        <v>64</v>
      </c>
      <c r="G63" s="39" t="s">
        <v>1832</v>
      </c>
      <c r="H63" s="39" t="s">
        <v>1832</v>
      </c>
      <c r="I63" s="40">
        <v>66.80199999999999</v>
      </c>
      <c r="N63" s="39" t="s">
        <v>67</v>
      </c>
      <c r="O63" s="39" t="s">
        <v>68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1.0</v>
      </c>
      <c r="W63" s="39">
        <v>0.0</v>
      </c>
      <c r="X63" s="39">
        <v>3.0</v>
      </c>
      <c r="Y63" s="39">
        <v>1.0</v>
      </c>
      <c r="Z63" s="30" t="s">
        <v>1833</v>
      </c>
      <c r="AA63" s="30" t="s">
        <v>1834</v>
      </c>
      <c r="AC63" s="39">
        <v>900.0</v>
      </c>
      <c r="AE63" s="39">
        <v>1.0</v>
      </c>
    </row>
    <row r="64">
      <c r="A64" s="39" t="s">
        <v>1835</v>
      </c>
      <c r="B64" s="39" t="s">
        <v>1417</v>
      </c>
      <c r="C64" s="39" t="s">
        <v>1418</v>
      </c>
      <c r="D64" s="39" t="s">
        <v>3296</v>
      </c>
      <c r="E64" s="39" t="s">
        <v>1771</v>
      </c>
      <c r="F64" s="39" t="s">
        <v>64</v>
      </c>
      <c r="G64" s="39" t="s">
        <v>85</v>
      </c>
      <c r="N64" s="39" t="s">
        <v>67</v>
      </c>
      <c r="O64" s="39" t="s">
        <v>68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2.0</v>
      </c>
      <c r="Z64" s="30" t="s">
        <v>1836</v>
      </c>
      <c r="AA64" s="30" t="s">
        <v>315</v>
      </c>
      <c r="AC64" s="39">
        <v>300.0</v>
      </c>
      <c r="AE64" s="39">
        <v>1.0</v>
      </c>
    </row>
    <row r="65">
      <c r="A65" s="39" t="s">
        <v>1837</v>
      </c>
      <c r="B65" s="39" t="s">
        <v>1417</v>
      </c>
      <c r="C65" s="39" t="s">
        <v>1418</v>
      </c>
      <c r="D65" s="39" t="s">
        <v>3296</v>
      </c>
      <c r="E65" s="39" t="s">
        <v>1771</v>
      </c>
      <c r="F65" s="39" t="s">
        <v>64</v>
      </c>
      <c r="G65" s="39" t="s">
        <v>80</v>
      </c>
      <c r="N65" s="39" t="s">
        <v>67</v>
      </c>
      <c r="O65" s="39" t="s">
        <v>68</v>
      </c>
      <c r="Q65" s="39">
        <v>0.0</v>
      </c>
      <c r="R65" s="39">
        <v>0.0</v>
      </c>
      <c r="S65" s="39">
        <v>1.0</v>
      </c>
      <c r="T65" s="39">
        <v>0.0</v>
      </c>
      <c r="U65" s="39">
        <v>0.0</v>
      </c>
      <c r="V65" s="39">
        <v>0.0</v>
      </c>
      <c r="W65" s="39">
        <v>0.0</v>
      </c>
      <c r="X65" s="39">
        <v>1.0</v>
      </c>
      <c r="Y65" s="39">
        <v>1.0</v>
      </c>
      <c r="Z65" s="30" t="s">
        <v>1838</v>
      </c>
      <c r="AA65" s="30" t="s">
        <v>411</v>
      </c>
      <c r="AC65" s="39">
        <v>300.0</v>
      </c>
      <c r="AE65" s="39">
        <v>1.0</v>
      </c>
    </row>
    <row r="66">
      <c r="A66" s="39" t="s">
        <v>1839</v>
      </c>
      <c r="B66" s="39" t="s">
        <v>1417</v>
      </c>
      <c r="C66" s="39" t="s">
        <v>1418</v>
      </c>
      <c r="D66" s="39" t="s">
        <v>3296</v>
      </c>
      <c r="E66" s="39" t="s">
        <v>1771</v>
      </c>
      <c r="F66" s="39" t="s">
        <v>64</v>
      </c>
      <c r="G66" s="39" t="s">
        <v>76</v>
      </c>
      <c r="N66" s="39" t="s">
        <v>81</v>
      </c>
      <c r="O66" s="39" t="s">
        <v>68</v>
      </c>
      <c r="Q66" s="39">
        <v>1.0</v>
      </c>
      <c r="R66" s="39">
        <v>0.0</v>
      </c>
      <c r="S66" s="39">
        <v>0.0</v>
      </c>
      <c r="T66" s="39">
        <v>0.0</v>
      </c>
      <c r="U66" s="39">
        <v>0.0</v>
      </c>
      <c r="V66" s="39">
        <v>0.0</v>
      </c>
      <c r="W66" s="39">
        <v>1.0</v>
      </c>
      <c r="X66" s="39">
        <v>2.0</v>
      </c>
      <c r="Y66" s="39">
        <v>0.0</v>
      </c>
      <c r="Z66" s="30" t="s">
        <v>1840</v>
      </c>
      <c r="AA66" s="30" t="s">
        <v>78</v>
      </c>
      <c r="AE66" s="39">
        <v>1.0</v>
      </c>
    </row>
    <row r="67">
      <c r="A67" s="39" t="s">
        <v>1841</v>
      </c>
      <c r="B67" s="39" t="s">
        <v>1417</v>
      </c>
      <c r="C67" s="39" t="s">
        <v>1418</v>
      </c>
      <c r="D67" s="39" t="s">
        <v>3296</v>
      </c>
      <c r="E67" s="39" t="s">
        <v>1771</v>
      </c>
      <c r="F67" s="39" t="s">
        <v>64</v>
      </c>
      <c r="G67" s="39" t="s">
        <v>1691</v>
      </c>
      <c r="N67" s="39" t="s">
        <v>1842</v>
      </c>
      <c r="O67" s="39" t="s">
        <v>68</v>
      </c>
      <c r="Q67" s="39">
        <v>0.0</v>
      </c>
      <c r="R67" s="39">
        <v>0.0</v>
      </c>
      <c r="S67" s="39">
        <v>1.0</v>
      </c>
      <c r="T67" s="39">
        <v>0.0</v>
      </c>
      <c r="U67" s="39">
        <v>0.0</v>
      </c>
      <c r="V67" s="39">
        <v>0.0</v>
      </c>
      <c r="W67" s="39">
        <v>0.0</v>
      </c>
      <c r="X67" s="39">
        <v>1.0</v>
      </c>
      <c r="Y67" s="39">
        <v>1.0</v>
      </c>
      <c r="Z67" s="30" t="s">
        <v>1838</v>
      </c>
      <c r="AA67" s="30" t="s">
        <v>411</v>
      </c>
      <c r="AE67" s="39">
        <v>1.0</v>
      </c>
    </row>
    <row r="68">
      <c r="A68" s="39" t="s">
        <v>1843</v>
      </c>
      <c r="B68" s="39" t="s">
        <v>1417</v>
      </c>
      <c r="C68" s="39" t="s">
        <v>1418</v>
      </c>
      <c r="D68" s="39" t="s">
        <v>3296</v>
      </c>
      <c r="E68" s="39" t="s">
        <v>1771</v>
      </c>
      <c r="F68" s="39" t="s">
        <v>64</v>
      </c>
      <c r="G68" s="39" t="s">
        <v>1844</v>
      </c>
      <c r="N68" s="39" t="s">
        <v>67</v>
      </c>
      <c r="O68" s="39" t="s">
        <v>68</v>
      </c>
      <c r="Q68" s="39">
        <v>0.0</v>
      </c>
      <c r="R68" s="39">
        <v>0.0</v>
      </c>
      <c r="S68" s="39">
        <v>1.0</v>
      </c>
      <c r="T68" s="39">
        <v>0.0</v>
      </c>
      <c r="U68" s="39">
        <v>0.0</v>
      </c>
      <c r="V68" s="39">
        <v>0.0</v>
      </c>
      <c r="W68" s="39">
        <v>0.0</v>
      </c>
      <c r="X68" s="39">
        <v>2.0</v>
      </c>
      <c r="Y68" s="39">
        <v>0.0</v>
      </c>
      <c r="Z68" s="30" t="s">
        <v>1840</v>
      </c>
      <c r="AA68" s="30" t="s">
        <v>78</v>
      </c>
      <c r="AE68" s="39">
        <v>1.0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3356</v>
      </c>
      <c r="B2" s="39" t="str">
        <f t="shared" ref="B2:B3" si="1">LEFT(A2,FIND(" ",A2) - 1)</f>
        <v>PEN</v>
      </c>
      <c r="C2" s="39" t="s">
        <v>2572</v>
      </c>
      <c r="D2" s="39" t="s">
        <v>26</v>
      </c>
      <c r="E2" s="39" t="s">
        <v>1771</v>
      </c>
      <c r="F2" s="39" t="s">
        <v>64</v>
      </c>
      <c r="AE2" s="39">
        <v>1.0</v>
      </c>
    </row>
    <row r="3">
      <c r="A3" s="39" t="s">
        <v>3357</v>
      </c>
      <c r="B3" s="39" t="str">
        <f t="shared" si="1"/>
        <v>PEN</v>
      </c>
      <c r="C3" s="39" t="s">
        <v>2572</v>
      </c>
      <c r="D3" s="39" t="s">
        <v>26</v>
      </c>
      <c r="E3" s="39" t="s">
        <v>1771</v>
      </c>
      <c r="F3" s="39" t="s">
        <v>64</v>
      </c>
      <c r="AE3" s="39">
        <v>1.0</v>
      </c>
    </row>
    <row r="4">
      <c r="A4" s="40" t="s">
        <v>3358</v>
      </c>
      <c r="D4" s="39" t="s">
        <v>26</v>
      </c>
      <c r="E4" s="39" t="s">
        <v>1771</v>
      </c>
      <c r="F4" s="39" t="s">
        <v>64</v>
      </c>
      <c r="AE4" s="39">
        <v>1.0</v>
      </c>
    </row>
    <row r="5">
      <c r="A5" s="40" t="s">
        <v>3359</v>
      </c>
      <c r="D5" s="39" t="s">
        <v>26</v>
      </c>
      <c r="E5" s="39" t="s">
        <v>1771</v>
      </c>
      <c r="F5" s="39" t="s">
        <v>64</v>
      </c>
      <c r="AE5" s="39">
        <v>1.0</v>
      </c>
    </row>
    <row r="6">
      <c r="A6" s="39" t="s">
        <v>3360</v>
      </c>
      <c r="B6" s="39" t="str">
        <f t="shared" ref="B6:B11" si="2">LEFT(A6,FIND(" ",A6) - 1)</f>
        <v>JSWD</v>
      </c>
      <c r="C6" s="39" t="s">
        <v>3361</v>
      </c>
      <c r="D6" s="39" t="s">
        <v>26</v>
      </c>
      <c r="E6" s="39" t="s">
        <v>1771</v>
      </c>
      <c r="F6" s="39" t="s">
        <v>64</v>
      </c>
      <c r="AE6" s="39">
        <v>1.0</v>
      </c>
    </row>
    <row r="7">
      <c r="A7" s="39" t="s">
        <v>3362</v>
      </c>
      <c r="B7" s="39" t="str">
        <f t="shared" si="2"/>
        <v>JSWD</v>
      </c>
      <c r="C7" s="39" t="s">
        <v>3361</v>
      </c>
      <c r="D7" s="39" t="s">
        <v>26</v>
      </c>
      <c r="E7" s="39" t="s">
        <v>1771</v>
      </c>
      <c r="F7" s="39" t="s">
        <v>64</v>
      </c>
      <c r="AE7" s="39">
        <v>1.0</v>
      </c>
    </row>
    <row r="8">
      <c r="A8" s="40" t="s">
        <v>3363</v>
      </c>
      <c r="B8" s="40" t="str">
        <f t="shared" si="2"/>
        <v>PPDP</v>
      </c>
      <c r="C8" s="39" t="s">
        <v>3364</v>
      </c>
      <c r="D8" s="39" t="s">
        <v>26</v>
      </c>
      <c r="E8" s="39" t="s">
        <v>1771</v>
      </c>
      <c r="F8" s="39" t="s">
        <v>64</v>
      </c>
      <c r="AE8" s="39">
        <v>1.0</v>
      </c>
    </row>
    <row r="9">
      <c r="A9" s="39" t="s">
        <v>3365</v>
      </c>
      <c r="B9" s="40" t="str">
        <f t="shared" si="2"/>
        <v>PPDP</v>
      </c>
      <c r="C9" s="39" t="s">
        <v>3364</v>
      </c>
      <c r="D9" s="39" t="s">
        <v>26</v>
      </c>
      <c r="E9" s="39" t="s">
        <v>1771</v>
      </c>
      <c r="F9" s="39" t="s">
        <v>64</v>
      </c>
      <c r="AE9" s="39">
        <v>1.0</v>
      </c>
    </row>
    <row r="10">
      <c r="A10" s="39" t="s">
        <v>3366</v>
      </c>
      <c r="B10" s="40" t="str">
        <f t="shared" si="2"/>
        <v>PPDP</v>
      </c>
      <c r="C10" s="39" t="s">
        <v>3364</v>
      </c>
      <c r="D10" s="39" t="s">
        <v>26</v>
      </c>
      <c r="E10" s="39" t="s">
        <v>1771</v>
      </c>
      <c r="F10" s="39" t="s">
        <v>64</v>
      </c>
      <c r="AE10" s="39">
        <v>1.0</v>
      </c>
    </row>
    <row r="11">
      <c r="A11" s="39" t="s">
        <v>3367</v>
      </c>
      <c r="B11" s="40" t="str">
        <f t="shared" si="2"/>
        <v>PPDP</v>
      </c>
      <c r="C11" s="39" t="s">
        <v>3364</v>
      </c>
      <c r="D11" s="39" t="s">
        <v>26</v>
      </c>
      <c r="E11" s="39" t="s">
        <v>1771</v>
      </c>
      <c r="F11" s="39" t="s">
        <v>64</v>
      </c>
      <c r="AE11" s="39">
        <v>1.0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40" t="s">
        <v>3363</v>
      </c>
      <c r="B2" s="39" t="s">
        <v>3364</v>
      </c>
      <c r="C2" s="39" t="s">
        <v>3364</v>
      </c>
      <c r="D2" s="39" t="s">
        <v>27</v>
      </c>
      <c r="E2" s="39" t="s">
        <v>1684</v>
      </c>
      <c r="F2" s="39" t="s">
        <v>397</v>
      </c>
      <c r="AE2" s="39">
        <v>1.0</v>
      </c>
    </row>
    <row r="3">
      <c r="A3" s="39" t="s">
        <v>3368</v>
      </c>
      <c r="B3" s="39" t="s">
        <v>3364</v>
      </c>
      <c r="C3" s="39" t="s">
        <v>3364</v>
      </c>
      <c r="D3" s="39" t="s">
        <v>27</v>
      </c>
      <c r="E3" s="39" t="s">
        <v>1684</v>
      </c>
      <c r="F3" s="39" t="s">
        <v>397</v>
      </c>
      <c r="AE3" s="39">
        <v>1.0</v>
      </c>
    </row>
    <row r="4">
      <c r="A4" s="39" t="s">
        <v>3369</v>
      </c>
      <c r="B4" s="39" t="s">
        <v>3364</v>
      </c>
      <c r="C4" s="39" t="s">
        <v>3364</v>
      </c>
      <c r="D4" s="39" t="s">
        <v>27</v>
      </c>
      <c r="E4" s="39" t="s">
        <v>1684</v>
      </c>
      <c r="F4" s="39" t="s">
        <v>397</v>
      </c>
      <c r="AE4" s="39">
        <v>1.0</v>
      </c>
    </row>
    <row r="5">
      <c r="A5" s="39" t="s">
        <v>3370</v>
      </c>
      <c r="B5" s="39" t="s">
        <v>3364</v>
      </c>
      <c r="C5" s="39" t="s">
        <v>3364</v>
      </c>
      <c r="D5" s="39" t="s">
        <v>27</v>
      </c>
      <c r="E5" s="39" t="s">
        <v>1684</v>
      </c>
      <c r="F5" s="39" t="s">
        <v>397</v>
      </c>
      <c r="AE5" s="39">
        <v>1.0</v>
      </c>
    </row>
    <row r="6">
      <c r="A6" s="40" t="s">
        <v>3371</v>
      </c>
      <c r="B6" s="39" t="s">
        <v>3361</v>
      </c>
      <c r="C6" s="39" t="s">
        <v>3361</v>
      </c>
      <c r="D6" s="39" t="s">
        <v>27</v>
      </c>
      <c r="E6" s="39" t="s">
        <v>1684</v>
      </c>
      <c r="F6" s="39" t="s">
        <v>397</v>
      </c>
      <c r="AE6" s="39">
        <v>1.0</v>
      </c>
    </row>
    <row r="7">
      <c r="A7" s="39" t="s">
        <v>3372</v>
      </c>
      <c r="B7" s="39" t="s">
        <v>3361</v>
      </c>
      <c r="C7" s="39" t="s">
        <v>3361</v>
      </c>
      <c r="D7" s="39" t="s">
        <v>27</v>
      </c>
      <c r="E7" s="39" t="s">
        <v>1684</v>
      </c>
      <c r="F7" s="39" t="s">
        <v>397</v>
      </c>
      <c r="AE7" s="39">
        <v>1.0</v>
      </c>
    </row>
    <row r="8">
      <c r="A8" s="39" t="s">
        <v>3373</v>
      </c>
      <c r="B8" s="39" t="s">
        <v>3361</v>
      </c>
      <c r="C8" s="39" t="s">
        <v>3361</v>
      </c>
      <c r="D8" s="39" t="s">
        <v>27</v>
      </c>
      <c r="E8" s="39" t="s">
        <v>1684</v>
      </c>
      <c r="F8" s="39" t="s">
        <v>397</v>
      </c>
      <c r="AE8" s="39">
        <v>1.0</v>
      </c>
    </row>
    <row r="9">
      <c r="A9" s="39" t="s">
        <v>3374</v>
      </c>
      <c r="B9" s="39" t="s">
        <v>3361</v>
      </c>
      <c r="C9" s="39" t="s">
        <v>3361</v>
      </c>
      <c r="D9" s="39" t="s">
        <v>27</v>
      </c>
      <c r="E9" s="39" t="s">
        <v>1684</v>
      </c>
      <c r="F9" s="39" t="s">
        <v>397</v>
      </c>
      <c r="AE9" s="39">
        <v>1.0</v>
      </c>
    </row>
    <row r="10">
      <c r="A10" s="39" t="s">
        <v>3375</v>
      </c>
      <c r="D10" s="39" t="s">
        <v>27</v>
      </c>
      <c r="E10" s="39" t="s">
        <v>1684</v>
      </c>
      <c r="F10" s="39" t="s">
        <v>397</v>
      </c>
      <c r="AE10" s="39">
        <v>1.0</v>
      </c>
    </row>
    <row r="11">
      <c r="A11" s="40" t="s">
        <v>3376</v>
      </c>
      <c r="B11" s="39" t="s">
        <v>2572</v>
      </c>
      <c r="C11" s="39" t="s">
        <v>2572</v>
      </c>
      <c r="D11" s="39" t="s">
        <v>27</v>
      </c>
      <c r="E11" s="39" t="s">
        <v>1684</v>
      </c>
      <c r="F11" s="39" t="s">
        <v>397</v>
      </c>
      <c r="AE11" s="39">
        <v>1.0</v>
      </c>
    </row>
    <row r="12">
      <c r="A12" s="39" t="s">
        <v>3377</v>
      </c>
      <c r="B12" s="39" t="s">
        <v>2572</v>
      </c>
      <c r="C12" s="39" t="s">
        <v>2572</v>
      </c>
      <c r="D12" s="39" t="s">
        <v>27</v>
      </c>
      <c r="E12" s="39" t="s">
        <v>1684</v>
      </c>
      <c r="F12" s="39" t="s">
        <v>397</v>
      </c>
      <c r="AE12" s="39">
        <v>1.0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B1" s="79"/>
      <c r="C1" s="80" t="s">
        <v>3378</v>
      </c>
      <c r="E1" s="80" t="s">
        <v>3379</v>
      </c>
    </row>
    <row r="2">
      <c r="C2" s="39" t="s">
        <v>102</v>
      </c>
      <c r="E2" s="39" t="s">
        <v>3380</v>
      </c>
    </row>
    <row r="3">
      <c r="C3" s="39" t="s">
        <v>66</v>
      </c>
      <c r="E3" s="39" t="s">
        <v>2126</v>
      </c>
    </row>
    <row r="4">
      <c r="C4" s="39" t="s">
        <v>1685</v>
      </c>
      <c r="E4" s="39" t="s">
        <v>3381</v>
      </c>
    </row>
    <row r="5">
      <c r="C5" s="39" t="s">
        <v>1716</v>
      </c>
      <c r="E5" s="39" t="s">
        <v>2140</v>
      </c>
    </row>
    <row r="6">
      <c r="C6" s="39" t="s">
        <v>2133</v>
      </c>
      <c r="E6" s="39" t="s">
        <v>2727</v>
      </c>
    </row>
    <row r="7">
      <c r="C7" s="39" t="s">
        <v>111</v>
      </c>
      <c r="E7" s="39" t="s">
        <v>2143</v>
      </c>
    </row>
    <row r="8">
      <c r="C8" s="39" t="s">
        <v>3382</v>
      </c>
      <c r="E8" s="39" t="s">
        <v>2537</v>
      </c>
    </row>
    <row r="9">
      <c r="C9" s="39" t="s">
        <v>3383</v>
      </c>
      <c r="E9" s="39" t="s">
        <v>2388</v>
      </c>
    </row>
    <row r="10">
      <c r="E10" s="39" t="s">
        <v>2133</v>
      </c>
    </row>
    <row r="11">
      <c r="E11" s="39" t="s">
        <v>2149</v>
      </c>
    </row>
    <row r="12">
      <c r="E12" s="39" t="s">
        <v>2542</v>
      </c>
    </row>
    <row r="13">
      <c r="E13" s="39" t="s">
        <v>111</v>
      </c>
    </row>
    <row r="14">
      <c r="E14" s="39" t="s">
        <v>3383</v>
      </c>
    </row>
    <row r="15">
      <c r="E15" s="39" t="s">
        <v>3384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31</v>
      </c>
      <c r="B1" s="39" t="s">
        <v>32</v>
      </c>
      <c r="C1" s="39" t="s">
        <v>3385</v>
      </c>
      <c r="D1" s="39" t="s">
        <v>1151</v>
      </c>
    </row>
    <row r="2">
      <c r="A2" s="39" t="s">
        <v>62</v>
      </c>
      <c r="B2" s="39" t="s">
        <v>62</v>
      </c>
      <c r="C2" s="39" t="s">
        <v>3386</v>
      </c>
      <c r="D2" s="39" t="s">
        <v>61</v>
      </c>
    </row>
    <row r="3">
      <c r="A3" s="39" t="s">
        <v>104</v>
      </c>
      <c r="B3" s="39" t="s">
        <v>105</v>
      </c>
      <c r="C3" s="39" t="s">
        <v>3387</v>
      </c>
      <c r="D3" s="39" t="s">
        <v>112</v>
      </c>
    </row>
    <row r="4">
      <c r="A4" s="39" t="s">
        <v>129</v>
      </c>
      <c r="B4" s="39" t="s">
        <v>130</v>
      </c>
      <c r="C4" s="39" t="s">
        <v>3388</v>
      </c>
      <c r="D4" s="39" t="s">
        <v>134</v>
      </c>
    </row>
    <row r="5">
      <c r="A5" s="39" t="s">
        <v>137</v>
      </c>
      <c r="B5" s="39" t="s">
        <v>138</v>
      </c>
      <c r="C5" s="39" t="s">
        <v>3389</v>
      </c>
      <c r="D5" s="39" t="s">
        <v>143</v>
      </c>
    </row>
    <row r="6">
      <c r="A6" s="39" t="s">
        <v>3390</v>
      </c>
      <c r="B6" s="39" t="s">
        <v>3391</v>
      </c>
      <c r="C6" s="39" t="s">
        <v>3392</v>
      </c>
      <c r="D6" s="39" t="s">
        <v>153</v>
      </c>
    </row>
    <row r="7">
      <c r="A7" s="39" t="s">
        <v>168</v>
      </c>
      <c r="B7" s="39" t="s">
        <v>3393</v>
      </c>
      <c r="C7" s="39" t="s">
        <v>3394</v>
      </c>
      <c r="D7" s="39" t="s">
        <v>167</v>
      </c>
    </row>
    <row r="8">
      <c r="A8" s="39" t="s">
        <v>172</v>
      </c>
      <c r="B8" s="39" t="s">
        <v>173</v>
      </c>
      <c r="C8" s="39" t="s">
        <v>3395</v>
      </c>
      <c r="D8" s="39" t="s">
        <v>181</v>
      </c>
    </row>
    <row r="9">
      <c r="A9" s="39" t="s">
        <v>3396</v>
      </c>
      <c r="B9" s="39" t="s">
        <v>3397</v>
      </c>
      <c r="C9" s="39" t="s">
        <v>3398</v>
      </c>
      <c r="D9" s="39" t="s">
        <v>201</v>
      </c>
    </row>
    <row r="10">
      <c r="A10" s="39" t="s">
        <v>215</v>
      </c>
      <c r="B10" s="39" t="s">
        <v>216</v>
      </c>
      <c r="C10" s="39" t="s">
        <v>3399</v>
      </c>
      <c r="D10" s="39" t="s">
        <v>220</v>
      </c>
    </row>
    <row r="11">
      <c r="A11" s="39" t="s">
        <v>236</v>
      </c>
      <c r="B11" s="39" t="s">
        <v>237</v>
      </c>
      <c r="C11" s="39" t="s">
        <v>3400</v>
      </c>
      <c r="D11" s="39" t="s">
        <v>239</v>
      </c>
    </row>
    <row r="12">
      <c r="A12" s="39" t="s">
        <v>252</v>
      </c>
      <c r="B12" s="39" t="s">
        <v>253</v>
      </c>
      <c r="C12" s="39" t="s">
        <v>3401</v>
      </c>
      <c r="D12" s="39" t="s">
        <v>255</v>
      </c>
    </row>
    <row r="13">
      <c r="A13" s="39" t="s">
        <v>262</v>
      </c>
      <c r="B13" s="39" t="s">
        <v>263</v>
      </c>
      <c r="C13" s="39" t="s">
        <v>3402</v>
      </c>
      <c r="D13" s="39" t="s">
        <v>272</v>
      </c>
    </row>
    <row r="14">
      <c r="A14" s="39" t="s">
        <v>839</v>
      </c>
      <c r="B14" s="39" t="s">
        <v>840</v>
      </c>
      <c r="C14" s="39" t="s">
        <v>3403</v>
      </c>
      <c r="D14" s="39" t="s">
        <v>286</v>
      </c>
    </row>
    <row r="15">
      <c r="A15" s="39" t="s">
        <v>3404</v>
      </c>
      <c r="B15" s="39" t="s">
        <v>3405</v>
      </c>
      <c r="C15" s="39" t="s">
        <v>3406</v>
      </c>
      <c r="D15" s="39" t="s">
        <v>306</v>
      </c>
    </row>
    <row r="16">
      <c r="A16" s="39" t="s">
        <v>312</v>
      </c>
      <c r="B16" s="39" t="s">
        <v>873</v>
      </c>
      <c r="C16" s="39" t="s">
        <v>3407</v>
      </c>
      <c r="D16" s="39" t="s">
        <v>318</v>
      </c>
    </row>
    <row r="17">
      <c r="A17" s="39" t="s">
        <v>343</v>
      </c>
      <c r="B17" s="39" t="s">
        <v>895</v>
      </c>
      <c r="C17" s="39" t="s">
        <v>3408</v>
      </c>
      <c r="D17" s="39" t="s">
        <v>346</v>
      </c>
    </row>
    <row r="18">
      <c r="A18" s="39" t="s">
        <v>360</v>
      </c>
      <c r="B18" s="39" t="s">
        <v>361</v>
      </c>
      <c r="C18" s="39" t="s">
        <v>3409</v>
      </c>
      <c r="D18" s="39" t="s">
        <v>3410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31</v>
      </c>
      <c r="B1" s="39" t="s">
        <v>32</v>
      </c>
      <c r="C1" s="39" t="s">
        <v>3385</v>
      </c>
      <c r="D1" s="39" t="s">
        <v>1151</v>
      </c>
    </row>
    <row r="2">
      <c r="A2" s="39" t="s">
        <v>360</v>
      </c>
      <c r="B2" s="39" t="s">
        <v>361</v>
      </c>
      <c r="C2" s="39">
        <v>53.21</v>
      </c>
      <c r="D2" s="39" t="s">
        <v>656</v>
      </c>
    </row>
    <row r="3">
      <c r="A3" s="39" t="s">
        <v>343</v>
      </c>
      <c r="B3" s="39" t="s">
        <v>895</v>
      </c>
      <c r="C3" s="39">
        <v>48.06</v>
      </c>
      <c r="D3" s="39" t="s">
        <v>434</v>
      </c>
    </row>
    <row r="4">
      <c r="A4" s="39" t="s">
        <v>312</v>
      </c>
      <c r="B4" s="39" t="s">
        <v>873</v>
      </c>
      <c r="C4" s="39">
        <v>42.3</v>
      </c>
    </row>
    <row r="5">
      <c r="A5" s="39" t="s">
        <v>3404</v>
      </c>
      <c r="B5" s="39" t="s">
        <v>3405</v>
      </c>
      <c r="C5" s="39">
        <v>40.01</v>
      </c>
    </row>
    <row r="6">
      <c r="A6" s="39" t="s">
        <v>839</v>
      </c>
      <c r="B6" s="39" t="s">
        <v>840</v>
      </c>
      <c r="C6" s="39">
        <v>33.45</v>
      </c>
    </row>
    <row r="7">
      <c r="A7" s="39" t="s">
        <v>262</v>
      </c>
      <c r="B7" s="39" t="s">
        <v>263</v>
      </c>
      <c r="C7" s="39">
        <v>33.02</v>
      </c>
    </row>
    <row r="8">
      <c r="A8" s="39" t="s">
        <v>252</v>
      </c>
      <c r="B8" s="39" t="s">
        <v>253</v>
      </c>
      <c r="C8" s="39">
        <v>30.56</v>
      </c>
    </row>
    <row r="9">
      <c r="A9" s="39" t="s">
        <v>236</v>
      </c>
      <c r="B9" s="39" t="s">
        <v>237</v>
      </c>
      <c r="C9" s="39">
        <v>26.56</v>
      </c>
    </row>
    <row r="10">
      <c r="A10" s="39" t="s">
        <v>215</v>
      </c>
      <c r="B10" s="39" t="s">
        <v>216</v>
      </c>
      <c r="C10" s="39">
        <v>22.85</v>
      </c>
    </row>
    <row r="11">
      <c r="A11" s="39" t="s">
        <v>3396</v>
      </c>
      <c r="B11" s="39" t="s">
        <v>3397</v>
      </c>
      <c r="C11" s="39">
        <v>19.3</v>
      </c>
    </row>
    <row r="12">
      <c r="A12" s="39" t="s">
        <v>172</v>
      </c>
      <c r="B12" s="39" t="s">
        <v>173</v>
      </c>
      <c r="C12" s="39">
        <v>15.39</v>
      </c>
    </row>
    <row r="13">
      <c r="A13" s="39" t="s">
        <v>168</v>
      </c>
      <c r="B13" s="39" t="s">
        <v>3393</v>
      </c>
      <c r="C13" s="39">
        <v>12.71</v>
      </c>
    </row>
    <row r="14">
      <c r="A14" s="39" t="s">
        <v>3390</v>
      </c>
      <c r="B14" s="39" t="s">
        <v>3391</v>
      </c>
      <c r="C14" s="39">
        <v>10.12</v>
      </c>
    </row>
    <row r="15">
      <c r="A15" s="39" t="s">
        <v>137</v>
      </c>
      <c r="B15" s="39" t="s">
        <v>138</v>
      </c>
      <c r="C15" s="39">
        <v>8.85</v>
      </c>
    </row>
    <row r="16">
      <c r="A16" s="39" t="s">
        <v>129</v>
      </c>
      <c r="B16" s="39" t="s">
        <v>130</v>
      </c>
      <c r="C16" s="39">
        <v>7.65</v>
      </c>
    </row>
    <row r="17">
      <c r="A17" s="39" t="s">
        <v>104</v>
      </c>
      <c r="B17" s="39" t="s">
        <v>105</v>
      </c>
      <c r="C17" s="39">
        <v>4.04</v>
      </c>
    </row>
    <row r="18">
      <c r="A18" s="39" t="s">
        <v>62</v>
      </c>
      <c r="B18" s="39" t="s">
        <v>62</v>
      </c>
      <c r="C18" s="39" t="s">
        <v>3386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4.88"/>
  </cols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63</v>
      </c>
      <c r="B2" s="39" t="s">
        <v>5</v>
      </c>
      <c r="C2" s="39" t="s">
        <v>64</v>
      </c>
      <c r="D2" s="43" t="s">
        <v>1423</v>
      </c>
      <c r="E2" s="43" t="s">
        <v>1424</v>
      </c>
      <c r="F2" s="40">
        <f>1.175-0.067</f>
        <v>1.108</v>
      </c>
      <c r="G2" s="39">
        <v>1.46</v>
      </c>
      <c r="H2" s="39">
        <v>70.0</v>
      </c>
      <c r="I2" s="81">
        <v>18.9528335</v>
      </c>
      <c r="J2" s="81">
        <v>72.8382871</v>
      </c>
      <c r="K2" s="81">
        <v>18.9555</v>
      </c>
      <c r="L2" s="81">
        <v>72.8382</v>
      </c>
      <c r="M2" s="39" t="s">
        <v>3411</v>
      </c>
      <c r="O2" s="40" t="s">
        <v>90</v>
      </c>
    </row>
    <row r="3">
      <c r="A3" s="39" t="s">
        <v>63</v>
      </c>
      <c r="B3" s="39" t="s">
        <v>5</v>
      </c>
      <c r="C3" s="39" t="s">
        <v>64</v>
      </c>
      <c r="D3" s="43" t="s">
        <v>3412</v>
      </c>
      <c r="E3" s="43" t="s">
        <v>3413</v>
      </c>
      <c r="F3" s="39">
        <v>2.326</v>
      </c>
      <c r="G3" s="39">
        <v>2.598</v>
      </c>
      <c r="H3" s="39">
        <v>60.0</v>
      </c>
      <c r="I3" s="81">
        <v>18.9635702</v>
      </c>
      <c r="J3" s="81">
        <v>72.8389997</v>
      </c>
      <c r="K3" s="81">
        <v>18.9678</v>
      </c>
      <c r="L3" s="81">
        <v>72.835</v>
      </c>
      <c r="M3" s="39" t="s">
        <v>3411</v>
      </c>
      <c r="O3" s="40" t="s">
        <v>100</v>
      </c>
    </row>
    <row r="4">
      <c r="A4" s="39" t="s">
        <v>63</v>
      </c>
      <c r="B4" s="39" t="s">
        <v>5</v>
      </c>
      <c r="C4" s="39" t="s">
        <v>64</v>
      </c>
      <c r="D4" s="43" t="s">
        <v>3414</v>
      </c>
      <c r="E4" s="43" t="s">
        <v>3415</v>
      </c>
      <c r="F4" s="39">
        <v>3.437</v>
      </c>
      <c r="G4" s="39">
        <v>3.743</v>
      </c>
      <c r="H4" s="39">
        <v>60.0</v>
      </c>
      <c r="I4" s="81">
        <v>18.9708535</v>
      </c>
      <c r="J4" s="81">
        <v>72.8332235</v>
      </c>
      <c r="K4" s="81">
        <v>18.97603</v>
      </c>
      <c r="L4" s="81">
        <v>72.83291</v>
      </c>
      <c r="M4" s="39" t="s">
        <v>3416</v>
      </c>
      <c r="O4" s="40" t="s">
        <v>107</v>
      </c>
    </row>
    <row r="5">
      <c r="A5" s="39" t="s">
        <v>63</v>
      </c>
      <c r="B5" s="39" t="s">
        <v>5</v>
      </c>
      <c r="C5" s="39" t="s">
        <v>64</v>
      </c>
      <c r="D5" s="43" t="s">
        <v>3417</v>
      </c>
      <c r="E5" s="43" t="s">
        <v>3418</v>
      </c>
      <c r="F5" s="39">
        <v>6.025</v>
      </c>
      <c r="G5" s="39">
        <v>6.159</v>
      </c>
      <c r="H5" s="39">
        <v>70.0</v>
      </c>
      <c r="I5" s="39">
        <v>18.9947795733849</v>
      </c>
      <c r="J5" s="39">
        <v>72.8330536976258</v>
      </c>
      <c r="K5" s="2">
        <v>18.99703</v>
      </c>
      <c r="L5" s="2">
        <v>72.83307</v>
      </c>
      <c r="M5" s="39" t="s">
        <v>3419</v>
      </c>
      <c r="N5" s="39" t="s">
        <v>3420</v>
      </c>
      <c r="O5" s="40" t="s">
        <v>126</v>
      </c>
    </row>
    <row r="6">
      <c r="A6" s="39" t="s">
        <v>63</v>
      </c>
      <c r="B6" s="39" t="s">
        <v>5</v>
      </c>
      <c r="C6" s="39" t="s">
        <v>64</v>
      </c>
      <c r="D6" s="43" t="s">
        <v>3421</v>
      </c>
      <c r="E6" s="43" t="s">
        <v>3422</v>
      </c>
      <c r="F6" s="39">
        <v>7.269</v>
      </c>
      <c r="G6" s="39">
        <v>7.555</v>
      </c>
      <c r="H6" s="39">
        <v>80.0</v>
      </c>
      <c r="I6" s="39">
        <v>19.0051000586653</v>
      </c>
      <c r="J6" s="39">
        <v>72.8351742868493</v>
      </c>
      <c r="K6" s="39">
        <v>19.009645418228</v>
      </c>
      <c r="L6" s="39">
        <v>72.8379937679048</v>
      </c>
      <c r="M6" s="39" t="s">
        <v>3423</v>
      </c>
      <c r="O6" s="40" t="s">
        <v>132</v>
      </c>
    </row>
    <row r="7">
      <c r="A7" s="39" t="s">
        <v>63</v>
      </c>
      <c r="B7" s="39" t="s">
        <v>5</v>
      </c>
      <c r="C7" s="39" t="s">
        <v>64</v>
      </c>
      <c r="D7" s="43" t="s">
        <v>3424</v>
      </c>
      <c r="E7" s="43" t="s">
        <v>3425</v>
      </c>
      <c r="F7" s="39">
        <v>10.473</v>
      </c>
      <c r="G7" s="39">
        <v>10.653</v>
      </c>
      <c r="H7" s="39">
        <v>65.0</v>
      </c>
      <c r="I7" s="81">
        <v>19.0296553</v>
      </c>
      <c r="J7" s="81">
        <v>72.8517695</v>
      </c>
      <c r="K7" s="81">
        <v>19.03331</v>
      </c>
      <c r="L7" s="81">
        <v>72.85431</v>
      </c>
      <c r="M7" s="39" t="s">
        <v>3426</v>
      </c>
      <c r="O7" s="40" t="s">
        <v>157</v>
      </c>
    </row>
    <row r="8">
      <c r="A8" s="39" t="s">
        <v>63</v>
      </c>
      <c r="B8" s="39" t="s">
        <v>5</v>
      </c>
      <c r="C8" s="39" t="s">
        <v>64</v>
      </c>
      <c r="D8" s="43" t="s">
        <v>3427</v>
      </c>
      <c r="E8" s="43" t="s">
        <v>3428</v>
      </c>
      <c r="F8" s="39">
        <v>18.027</v>
      </c>
      <c r="G8" s="39">
        <v>18.197</v>
      </c>
      <c r="H8" s="39">
        <v>65.0</v>
      </c>
      <c r="I8" s="81">
        <v>19.0801853</v>
      </c>
      <c r="J8" s="81">
        <v>72.8983858</v>
      </c>
      <c r="K8" s="81">
        <v>19.08277</v>
      </c>
      <c r="L8" s="81">
        <v>72.90268</v>
      </c>
      <c r="M8" s="39" t="s">
        <v>1169</v>
      </c>
      <c r="O8" s="40" t="s">
        <v>195</v>
      </c>
    </row>
    <row r="9">
      <c r="A9" s="39" t="s">
        <v>63</v>
      </c>
      <c r="B9" s="39" t="s">
        <v>5</v>
      </c>
      <c r="C9" s="39" t="s">
        <v>64</v>
      </c>
      <c r="D9" s="43" t="s">
        <v>3429</v>
      </c>
      <c r="E9" s="43" t="s">
        <v>3430</v>
      </c>
      <c r="F9" s="39">
        <v>36.558</v>
      </c>
      <c r="G9" s="39">
        <v>36.787</v>
      </c>
      <c r="H9" s="39">
        <v>95.0</v>
      </c>
      <c r="I9" s="81">
        <v>19.2025237</v>
      </c>
      <c r="J9" s="81">
        <v>73.0055572</v>
      </c>
      <c r="K9" s="81">
        <v>19.2052626</v>
      </c>
      <c r="L9" s="81">
        <v>73.0170686</v>
      </c>
      <c r="M9" s="39" t="s">
        <v>3431</v>
      </c>
      <c r="O9" s="40" t="s">
        <v>292</v>
      </c>
    </row>
    <row r="10">
      <c r="A10" s="39" t="s">
        <v>63</v>
      </c>
      <c r="B10" s="39" t="s">
        <v>5</v>
      </c>
      <c r="C10" s="39" t="s">
        <v>64</v>
      </c>
      <c r="D10" s="43" t="s">
        <v>3432</v>
      </c>
      <c r="E10" s="43" t="s">
        <v>3433</v>
      </c>
      <c r="F10" s="39">
        <v>37.79</v>
      </c>
      <c r="G10" s="39">
        <v>38.075</v>
      </c>
      <c r="H10" s="39">
        <v>85.0</v>
      </c>
      <c r="I10" s="81">
        <v>19.2052626</v>
      </c>
      <c r="J10" s="81">
        <v>73.0170686</v>
      </c>
      <c r="K10" s="81">
        <v>19.1999952</v>
      </c>
      <c r="L10" s="81">
        <v>73.0222114</v>
      </c>
      <c r="M10" s="39" t="s">
        <v>3434</v>
      </c>
      <c r="O10" s="40" t="s">
        <v>296</v>
      </c>
    </row>
    <row r="11">
      <c r="A11" s="39" t="s">
        <v>63</v>
      </c>
      <c r="B11" s="39" t="s">
        <v>5</v>
      </c>
      <c r="C11" s="39" t="s">
        <v>64</v>
      </c>
      <c r="D11" s="43" t="s">
        <v>3433</v>
      </c>
      <c r="E11" s="43" t="s">
        <v>3435</v>
      </c>
      <c r="F11" s="39">
        <v>38.641</v>
      </c>
      <c r="G11" s="39">
        <v>41.683</v>
      </c>
      <c r="H11" s="39">
        <v>100.0</v>
      </c>
      <c r="I11" s="81">
        <v>19.1999952</v>
      </c>
      <c r="J11" s="81">
        <v>73.0222114</v>
      </c>
      <c r="K11" s="81">
        <v>19.18536</v>
      </c>
      <c r="L11" s="81">
        <v>73.03472</v>
      </c>
      <c r="M11" s="39" t="s">
        <v>2239</v>
      </c>
      <c r="O11" s="40" t="s">
        <v>300</v>
      </c>
    </row>
    <row r="12">
      <c r="A12" s="39" t="s">
        <v>63</v>
      </c>
      <c r="B12" s="39" t="s">
        <v>5</v>
      </c>
      <c r="C12" s="39" t="s">
        <v>64</v>
      </c>
      <c r="D12" s="43" t="s">
        <v>3436</v>
      </c>
      <c r="E12" s="43" t="s">
        <v>3437</v>
      </c>
      <c r="F12" s="39">
        <v>52.278</v>
      </c>
      <c r="G12" s="39">
        <v>52.725</v>
      </c>
      <c r="H12" s="39">
        <v>65.0</v>
      </c>
      <c r="I12" s="81">
        <v>19.2328096</v>
      </c>
      <c r="J12" s="81">
        <v>73.1233412</v>
      </c>
      <c r="K12" s="39">
        <v>19.2335897888109</v>
      </c>
      <c r="L12" s="39">
        <v>73.126154059947</v>
      </c>
      <c r="M12" s="39" t="s">
        <v>3426</v>
      </c>
      <c r="O12" s="40" t="s">
        <v>367</v>
      </c>
    </row>
    <row r="15">
      <c r="F15" s="22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</cols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20" t="s">
        <v>3438</v>
      </c>
      <c r="B2" s="39" t="s">
        <v>1417</v>
      </c>
      <c r="C2" s="39" t="s">
        <v>1418</v>
      </c>
      <c r="D2" s="39" t="s">
        <v>673</v>
      </c>
      <c r="E2" s="39" t="s">
        <v>3439</v>
      </c>
      <c r="F2" s="39" t="s">
        <v>397</v>
      </c>
      <c r="G2" s="39" t="s">
        <v>3440</v>
      </c>
      <c r="I2" s="40">
        <v>48.861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1.0</v>
      </c>
      <c r="X2" s="39">
        <v>0.0</v>
      </c>
      <c r="Y2" s="39">
        <v>0.0</v>
      </c>
      <c r="AC2" s="39">
        <v>250.0</v>
      </c>
      <c r="AE2" s="39">
        <v>1.0</v>
      </c>
    </row>
    <row r="3">
      <c r="A3" s="20" t="s">
        <v>3441</v>
      </c>
      <c r="B3" s="39" t="s">
        <v>1417</v>
      </c>
      <c r="C3" s="39" t="s">
        <v>1418</v>
      </c>
      <c r="D3" s="39" t="s">
        <v>673</v>
      </c>
      <c r="E3" s="39" t="s">
        <v>3439</v>
      </c>
      <c r="F3" s="39" t="s">
        <v>397</v>
      </c>
      <c r="G3" s="39" t="s">
        <v>3442</v>
      </c>
      <c r="H3" s="39" t="s">
        <v>3442</v>
      </c>
      <c r="I3" s="40">
        <v>48.392</v>
      </c>
      <c r="L3" s="2" t="s">
        <v>66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300.0</v>
      </c>
      <c r="AE3" s="39">
        <v>1.0</v>
      </c>
    </row>
    <row r="4">
      <c r="A4" s="20" t="s">
        <v>3443</v>
      </c>
      <c r="D4" s="39" t="s">
        <v>673</v>
      </c>
      <c r="E4" s="39" t="s">
        <v>3439</v>
      </c>
      <c r="F4" s="39" t="s">
        <v>397</v>
      </c>
      <c r="G4" s="39" t="s">
        <v>3444</v>
      </c>
      <c r="H4" s="39" t="s">
        <v>3444</v>
      </c>
      <c r="I4" s="40">
        <v>48.183</v>
      </c>
      <c r="L4" s="40" t="s">
        <v>102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400.0</v>
      </c>
      <c r="AE4" s="39">
        <v>1.0</v>
      </c>
    </row>
    <row r="5">
      <c r="A5" s="20" t="s">
        <v>3445</v>
      </c>
      <c r="D5" s="39" t="s">
        <v>673</v>
      </c>
      <c r="E5" s="39" t="s">
        <v>3439</v>
      </c>
      <c r="F5" s="39" t="s">
        <v>397</v>
      </c>
      <c r="G5" s="39" t="s">
        <v>3446</v>
      </c>
      <c r="H5" s="39" t="s">
        <v>3446</v>
      </c>
      <c r="I5" s="40">
        <v>47.91</v>
      </c>
      <c r="L5" s="40" t="s">
        <v>102</v>
      </c>
      <c r="N5" s="39" t="s">
        <v>67</v>
      </c>
      <c r="O5" s="39" t="s">
        <v>67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400.0</v>
      </c>
      <c r="AE5" s="39">
        <v>1.0</v>
      </c>
    </row>
    <row r="6">
      <c r="A6" s="20" t="s">
        <v>3447</v>
      </c>
      <c r="D6" s="39" t="s">
        <v>673</v>
      </c>
      <c r="E6" s="39" t="s">
        <v>3439</v>
      </c>
      <c r="F6" s="39" t="s">
        <v>397</v>
      </c>
      <c r="G6" s="39" t="s">
        <v>3448</v>
      </c>
      <c r="H6" s="39" t="s">
        <v>3448</v>
      </c>
      <c r="I6" s="40">
        <v>47.612</v>
      </c>
      <c r="L6" s="40" t="s">
        <v>102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400.0</v>
      </c>
      <c r="AE6" s="39">
        <v>1.0</v>
      </c>
    </row>
    <row r="7">
      <c r="A7" s="20" t="s">
        <v>3449</v>
      </c>
      <c r="D7" s="39" t="s">
        <v>673</v>
      </c>
      <c r="E7" s="39" t="s">
        <v>3439</v>
      </c>
      <c r="F7" s="39" t="s">
        <v>397</v>
      </c>
      <c r="G7" s="39" t="s">
        <v>3450</v>
      </c>
      <c r="H7" s="39" t="s">
        <v>3450</v>
      </c>
      <c r="I7" s="40">
        <v>47.272</v>
      </c>
      <c r="L7" s="40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400.0</v>
      </c>
      <c r="AE7" s="39">
        <v>1.0</v>
      </c>
    </row>
    <row r="8">
      <c r="A8" s="20" t="s">
        <v>3451</v>
      </c>
      <c r="D8" s="39" t="s">
        <v>673</v>
      </c>
      <c r="E8" s="39" t="s">
        <v>3439</v>
      </c>
      <c r="F8" s="39" t="s">
        <v>397</v>
      </c>
      <c r="G8" s="39" t="s">
        <v>3452</v>
      </c>
      <c r="H8" s="39" t="s">
        <v>3452</v>
      </c>
      <c r="I8" s="40">
        <v>46.899</v>
      </c>
      <c r="L8" s="40" t="s">
        <v>102</v>
      </c>
      <c r="N8" s="39" t="s">
        <v>67</v>
      </c>
      <c r="O8" s="39" t="s">
        <v>67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350.0</v>
      </c>
      <c r="AE8" s="39">
        <v>1.0</v>
      </c>
    </row>
    <row r="9">
      <c r="A9" s="20" t="s">
        <v>3453</v>
      </c>
      <c r="D9" s="39" t="s">
        <v>673</v>
      </c>
      <c r="E9" s="39" t="s">
        <v>3439</v>
      </c>
      <c r="F9" s="39" t="s">
        <v>397</v>
      </c>
      <c r="G9" s="39" t="s">
        <v>3454</v>
      </c>
      <c r="H9" s="39" t="s">
        <v>3454</v>
      </c>
      <c r="I9" s="40">
        <v>46.502</v>
      </c>
      <c r="L9" s="40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300.0</v>
      </c>
      <c r="AE9" s="39">
        <v>1.0</v>
      </c>
    </row>
    <row r="10">
      <c r="A10" s="20" t="s">
        <v>3455</v>
      </c>
      <c r="D10" s="39" t="s">
        <v>673</v>
      </c>
      <c r="E10" s="39" t="s">
        <v>3439</v>
      </c>
      <c r="F10" s="39" t="s">
        <v>397</v>
      </c>
      <c r="G10" s="39" t="s">
        <v>3456</v>
      </c>
      <c r="I10" s="40">
        <v>46.165</v>
      </c>
      <c r="L10" s="40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600.0</v>
      </c>
      <c r="AE10" s="39">
        <v>1.0</v>
      </c>
    </row>
    <row r="11">
      <c r="A11" s="20" t="s">
        <v>3457</v>
      </c>
      <c r="D11" s="39" t="s">
        <v>673</v>
      </c>
      <c r="E11" s="39" t="s">
        <v>3439</v>
      </c>
      <c r="F11" s="39" t="s">
        <v>397</v>
      </c>
      <c r="G11" s="39" t="s">
        <v>3458</v>
      </c>
      <c r="H11" s="39" t="s">
        <v>3458</v>
      </c>
      <c r="I11" s="40">
        <v>45.827</v>
      </c>
      <c r="L11" s="40" t="s">
        <v>102</v>
      </c>
      <c r="N11" s="39" t="s">
        <v>67</v>
      </c>
      <c r="O11" s="39" t="s">
        <v>81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350.0</v>
      </c>
      <c r="AE11" s="39">
        <v>1.0</v>
      </c>
    </row>
    <row r="12">
      <c r="A12" s="20" t="s">
        <v>3459</v>
      </c>
      <c r="D12" s="39" t="s">
        <v>673</v>
      </c>
      <c r="E12" s="39" t="s">
        <v>3439</v>
      </c>
      <c r="F12" s="39" t="s">
        <v>397</v>
      </c>
      <c r="G12" s="39" t="s">
        <v>3460</v>
      </c>
      <c r="H12" s="39" t="s">
        <v>3460</v>
      </c>
      <c r="I12" s="40">
        <v>45.383</v>
      </c>
      <c r="L12" s="40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400.0</v>
      </c>
      <c r="AE12" s="39">
        <v>1.0</v>
      </c>
    </row>
    <row r="13">
      <c r="A13" s="20" t="s">
        <v>3461</v>
      </c>
      <c r="D13" s="39" t="s">
        <v>673</v>
      </c>
      <c r="E13" s="39" t="s">
        <v>3439</v>
      </c>
      <c r="F13" s="39" t="s">
        <v>397</v>
      </c>
      <c r="G13" s="39" t="s">
        <v>3462</v>
      </c>
      <c r="H13" s="39" t="s">
        <v>3462</v>
      </c>
      <c r="I13" s="40">
        <v>44.957</v>
      </c>
      <c r="L13" s="40" t="s">
        <v>102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400.0</v>
      </c>
      <c r="AE13" s="39">
        <v>1.0</v>
      </c>
    </row>
    <row r="14">
      <c r="A14" s="20" t="s">
        <v>3463</v>
      </c>
      <c r="D14" s="39" t="s">
        <v>673</v>
      </c>
      <c r="E14" s="39" t="s">
        <v>3439</v>
      </c>
      <c r="F14" s="39" t="s">
        <v>397</v>
      </c>
      <c r="G14" s="39" t="s">
        <v>3464</v>
      </c>
      <c r="I14" s="40">
        <v>44.542</v>
      </c>
      <c r="L14" s="40" t="s">
        <v>102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700.0</v>
      </c>
      <c r="AE14" s="39">
        <v>1.0</v>
      </c>
    </row>
    <row r="15">
      <c r="A15" s="20" t="s">
        <v>3465</v>
      </c>
      <c r="D15" s="39" t="s">
        <v>673</v>
      </c>
      <c r="E15" s="39" t="s">
        <v>3439</v>
      </c>
      <c r="F15" s="39" t="s">
        <v>397</v>
      </c>
      <c r="G15" s="39" t="s">
        <v>3466</v>
      </c>
      <c r="H15" s="39" t="s">
        <v>3466</v>
      </c>
      <c r="I15" s="40">
        <v>44.053</v>
      </c>
      <c r="L15" s="40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300.0</v>
      </c>
      <c r="AE15" s="39">
        <v>1.0</v>
      </c>
    </row>
    <row r="16">
      <c r="A16" s="20" t="s">
        <v>3467</v>
      </c>
      <c r="D16" s="39" t="s">
        <v>673</v>
      </c>
      <c r="E16" s="39" t="s">
        <v>3439</v>
      </c>
      <c r="F16" s="39" t="s">
        <v>397</v>
      </c>
      <c r="G16" s="39" t="s">
        <v>3468</v>
      </c>
      <c r="H16" s="39" t="s">
        <v>3468</v>
      </c>
      <c r="I16" s="40">
        <v>43.5</v>
      </c>
      <c r="L16" s="40" t="s">
        <v>102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600.0</v>
      </c>
      <c r="AE16" s="39">
        <v>1.0</v>
      </c>
    </row>
    <row r="17">
      <c r="A17" s="20" t="s">
        <v>3469</v>
      </c>
      <c r="D17" s="39" t="s">
        <v>673</v>
      </c>
      <c r="E17" s="39" t="s">
        <v>3439</v>
      </c>
      <c r="F17" s="39" t="s">
        <v>397</v>
      </c>
      <c r="G17" s="39" t="s">
        <v>3470</v>
      </c>
      <c r="H17" s="39" t="s">
        <v>3470</v>
      </c>
      <c r="I17" s="40">
        <v>43.082</v>
      </c>
      <c r="L17" s="40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400.0</v>
      </c>
      <c r="AE17" s="39">
        <v>1.0</v>
      </c>
    </row>
    <row r="18">
      <c r="A18" s="20" t="s">
        <v>3471</v>
      </c>
      <c r="D18" s="39" t="s">
        <v>673</v>
      </c>
      <c r="E18" s="39" t="s">
        <v>3439</v>
      </c>
      <c r="F18" s="39" t="s">
        <v>397</v>
      </c>
      <c r="G18" s="39" t="s">
        <v>3472</v>
      </c>
      <c r="H18" s="39" t="s">
        <v>3472</v>
      </c>
      <c r="I18" s="40">
        <v>42.7</v>
      </c>
      <c r="L18" s="40" t="s">
        <v>102</v>
      </c>
      <c r="N18" s="39" t="s">
        <v>67</v>
      </c>
      <c r="O18" s="39" t="s">
        <v>67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400.0</v>
      </c>
      <c r="AE18" s="39">
        <v>1.0</v>
      </c>
    </row>
    <row r="19">
      <c r="A19" s="20" t="s">
        <v>3473</v>
      </c>
      <c r="D19" s="39" t="s">
        <v>673</v>
      </c>
      <c r="E19" s="39" t="s">
        <v>3439</v>
      </c>
      <c r="F19" s="39" t="s">
        <v>397</v>
      </c>
      <c r="G19" s="39" t="s">
        <v>3474</v>
      </c>
      <c r="H19" s="39" t="s">
        <v>3474</v>
      </c>
      <c r="I19" s="40">
        <v>42.131</v>
      </c>
      <c r="L19" s="40" t="s">
        <v>102</v>
      </c>
      <c r="N19" s="39" t="s">
        <v>67</v>
      </c>
      <c r="O19" s="39" t="s">
        <v>67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400.0</v>
      </c>
      <c r="AE19" s="39">
        <v>1.0</v>
      </c>
    </row>
    <row r="20">
      <c r="A20" s="20" t="s">
        <v>3475</v>
      </c>
      <c r="D20" s="39" t="s">
        <v>673</v>
      </c>
      <c r="E20" s="39" t="s">
        <v>3439</v>
      </c>
      <c r="F20" s="39" t="s">
        <v>397</v>
      </c>
      <c r="G20" s="39" t="s">
        <v>3476</v>
      </c>
      <c r="H20" s="39" t="s">
        <v>3476</v>
      </c>
      <c r="I20" s="40">
        <v>41.736</v>
      </c>
      <c r="L20" s="40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400.0</v>
      </c>
      <c r="AE20" s="39">
        <v>1.0</v>
      </c>
    </row>
    <row r="21">
      <c r="A21" s="20" t="s">
        <v>3477</v>
      </c>
      <c r="D21" s="39" t="s">
        <v>673</v>
      </c>
      <c r="E21" s="39" t="s">
        <v>3439</v>
      </c>
      <c r="F21" s="39" t="s">
        <v>397</v>
      </c>
      <c r="G21" s="39" t="s">
        <v>3478</v>
      </c>
      <c r="I21" s="40">
        <v>41.13</v>
      </c>
      <c r="L21" s="40" t="s">
        <v>102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800.0</v>
      </c>
      <c r="AE21" s="39">
        <v>1.0</v>
      </c>
    </row>
    <row r="22">
      <c r="A22" s="20" t="s">
        <v>3479</v>
      </c>
      <c r="D22" s="39" t="s">
        <v>673</v>
      </c>
      <c r="E22" s="39" t="s">
        <v>3439</v>
      </c>
      <c r="F22" s="39" t="s">
        <v>397</v>
      </c>
      <c r="G22" s="39" t="s">
        <v>3480</v>
      </c>
      <c r="H22" s="39" t="s">
        <v>3480</v>
      </c>
      <c r="I22" s="40">
        <v>40.552</v>
      </c>
      <c r="L22" s="40" t="s">
        <v>102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400.0</v>
      </c>
      <c r="AE22" s="39">
        <v>1.0</v>
      </c>
    </row>
    <row r="23">
      <c r="A23" s="20" t="s">
        <v>3481</v>
      </c>
      <c r="D23" s="39" t="s">
        <v>673</v>
      </c>
      <c r="E23" s="39" t="s">
        <v>3439</v>
      </c>
      <c r="F23" s="39" t="s">
        <v>397</v>
      </c>
      <c r="G23" s="39" t="s">
        <v>3482</v>
      </c>
      <c r="H23" s="39" t="s">
        <v>3482</v>
      </c>
      <c r="I23" s="40">
        <v>40.067</v>
      </c>
      <c r="L23" s="40" t="s">
        <v>102</v>
      </c>
      <c r="N23" s="39" t="s">
        <v>67</v>
      </c>
      <c r="O23" s="39" t="s">
        <v>81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300.0</v>
      </c>
      <c r="AE23" s="39">
        <v>1.0</v>
      </c>
    </row>
    <row r="24">
      <c r="A24" s="20" t="s">
        <v>3483</v>
      </c>
      <c r="B24" s="39" t="s">
        <v>1365</v>
      </c>
      <c r="C24" s="39" t="s">
        <v>1366</v>
      </c>
      <c r="D24" s="39" t="s">
        <v>673</v>
      </c>
      <c r="E24" s="39" t="s">
        <v>3439</v>
      </c>
      <c r="F24" s="39" t="s">
        <v>397</v>
      </c>
      <c r="G24" s="39" t="s">
        <v>3484</v>
      </c>
      <c r="H24" s="39" t="s">
        <v>3484</v>
      </c>
      <c r="I24" s="40">
        <v>39.669</v>
      </c>
      <c r="L24" s="2" t="s">
        <v>66</v>
      </c>
      <c r="N24" s="39" t="s">
        <v>67</v>
      </c>
      <c r="O24" s="39" t="s">
        <v>67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500.0</v>
      </c>
      <c r="AE24" s="39">
        <v>1.0</v>
      </c>
    </row>
    <row r="25">
      <c r="A25" s="20" t="s">
        <v>3485</v>
      </c>
      <c r="B25" s="39" t="s">
        <v>1365</v>
      </c>
      <c r="C25" s="39" t="s">
        <v>1366</v>
      </c>
      <c r="D25" s="39" t="s">
        <v>673</v>
      </c>
      <c r="E25" s="39" t="s">
        <v>3439</v>
      </c>
      <c r="F25" s="39" t="s">
        <v>397</v>
      </c>
      <c r="G25" s="39" t="s">
        <v>3486</v>
      </c>
      <c r="H25" s="39" t="s">
        <v>3486</v>
      </c>
      <c r="I25" s="40">
        <v>39.122</v>
      </c>
      <c r="L25" s="2" t="s">
        <v>66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1.0</v>
      </c>
      <c r="W25" s="39">
        <v>1.0</v>
      </c>
      <c r="X25" s="39">
        <v>0.0</v>
      </c>
      <c r="Y25" s="39">
        <v>1.0</v>
      </c>
      <c r="Z25" s="30" t="s">
        <v>1100</v>
      </c>
      <c r="AA25" s="30" t="s">
        <v>97</v>
      </c>
      <c r="AC25" s="39">
        <v>400.0</v>
      </c>
      <c r="AE25" s="39">
        <v>1.0</v>
      </c>
    </row>
    <row r="26">
      <c r="A26" s="20" t="s">
        <v>3487</v>
      </c>
      <c r="B26" s="39" t="s">
        <v>1365</v>
      </c>
      <c r="C26" s="39" t="s">
        <v>1366</v>
      </c>
      <c r="D26" s="39" t="s">
        <v>673</v>
      </c>
      <c r="E26" s="39" t="s">
        <v>3439</v>
      </c>
      <c r="F26" s="39" t="s">
        <v>397</v>
      </c>
      <c r="G26" s="39" t="s">
        <v>3488</v>
      </c>
      <c r="I26" s="40">
        <v>38.374</v>
      </c>
      <c r="L26" s="2" t="s">
        <v>66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1.0</v>
      </c>
      <c r="X26" s="39">
        <v>0.0</v>
      </c>
      <c r="Y26" s="39">
        <v>0.0</v>
      </c>
      <c r="AC26" s="39">
        <v>400.0</v>
      </c>
      <c r="AE26" s="39">
        <v>1.0</v>
      </c>
    </row>
    <row r="27">
      <c r="A27" s="20" t="s">
        <v>3489</v>
      </c>
      <c r="B27" s="39" t="s">
        <v>1365</v>
      </c>
      <c r="C27" s="39" t="s">
        <v>1366</v>
      </c>
      <c r="D27" s="39" t="s">
        <v>673</v>
      </c>
      <c r="E27" s="39" t="s">
        <v>3439</v>
      </c>
      <c r="F27" s="39" t="s">
        <v>397</v>
      </c>
      <c r="G27" s="39" t="s">
        <v>3490</v>
      </c>
      <c r="H27" s="39" t="s">
        <v>3490</v>
      </c>
      <c r="I27" s="40">
        <v>37.952</v>
      </c>
      <c r="L27" s="2" t="s">
        <v>66</v>
      </c>
      <c r="N27" s="39" t="s">
        <v>67</v>
      </c>
      <c r="O27" s="39" t="s">
        <v>81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350.0</v>
      </c>
      <c r="AE27" s="39">
        <v>1.0</v>
      </c>
    </row>
    <row r="28">
      <c r="A28" s="20" t="s">
        <v>3491</v>
      </c>
      <c r="D28" s="39" t="s">
        <v>673</v>
      </c>
      <c r="E28" s="39" t="s">
        <v>3439</v>
      </c>
      <c r="F28" s="39" t="s">
        <v>397</v>
      </c>
      <c r="G28" s="39" t="s">
        <v>3492</v>
      </c>
      <c r="H28" s="39" t="s">
        <v>3492</v>
      </c>
      <c r="I28" s="40">
        <v>37.016</v>
      </c>
      <c r="L28" s="40" t="s">
        <v>102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AC28" s="39">
        <v>600.0</v>
      </c>
      <c r="AE28" s="39">
        <v>1.0</v>
      </c>
    </row>
    <row r="29">
      <c r="A29" s="20" t="s">
        <v>3493</v>
      </c>
      <c r="D29" s="39" t="s">
        <v>673</v>
      </c>
      <c r="E29" s="39" t="s">
        <v>3439</v>
      </c>
      <c r="F29" s="39" t="s">
        <v>397</v>
      </c>
      <c r="G29" s="39" t="s">
        <v>3494</v>
      </c>
      <c r="H29" s="39" t="s">
        <v>3494</v>
      </c>
      <c r="I29" s="40">
        <v>36.231</v>
      </c>
      <c r="L29" s="40" t="s">
        <v>102</v>
      </c>
      <c r="N29" s="39" t="s">
        <v>67</v>
      </c>
      <c r="O29" s="39" t="s">
        <v>81</v>
      </c>
      <c r="Q29" s="39">
        <v>0.0</v>
      </c>
      <c r="R29" s="39">
        <v>0.0</v>
      </c>
      <c r="S29" s="39">
        <v>1.0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AC29" s="39">
        <v>400.0</v>
      </c>
      <c r="AE29" s="39">
        <v>1.0</v>
      </c>
    </row>
    <row r="30">
      <c r="A30" s="20" t="s">
        <v>3495</v>
      </c>
      <c r="D30" s="39" t="s">
        <v>673</v>
      </c>
      <c r="E30" s="39" t="s">
        <v>3439</v>
      </c>
      <c r="F30" s="39" t="s">
        <v>397</v>
      </c>
      <c r="G30" s="39" t="s">
        <v>3496</v>
      </c>
      <c r="H30" s="39" t="s">
        <v>3496</v>
      </c>
      <c r="I30" s="39">
        <v>36.334</v>
      </c>
      <c r="L30" s="40" t="s">
        <v>102</v>
      </c>
      <c r="N30" s="39" t="s">
        <v>67</v>
      </c>
      <c r="O30" s="39" t="s">
        <v>67</v>
      </c>
      <c r="Q30" s="39">
        <v>0.0</v>
      </c>
      <c r="R30" s="39">
        <v>0.0</v>
      </c>
      <c r="S30" s="39">
        <v>1.0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AC30" s="39">
        <v>500.0</v>
      </c>
      <c r="AE30" s="39">
        <v>1.0</v>
      </c>
    </row>
    <row r="31">
      <c r="A31" s="20" t="s">
        <v>3497</v>
      </c>
      <c r="D31" s="39" t="s">
        <v>673</v>
      </c>
      <c r="E31" s="39" t="s">
        <v>3439</v>
      </c>
      <c r="F31" s="39" t="s">
        <v>397</v>
      </c>
      <c r="G31" s="62" t="s">
        <v>3498</v>
      </c>
      <c r="H31" s="82"/>
      <c r="I31" s="82">
        <v>35.36900000000001</v>
      </c>
      <c r="L31" s="40" t="s">
        <v>102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AC31" s="39">
        <v>600.0</v>
      </c>
      <c r="AE31" s="39">
        <v>1.0</v>
      </c>
    </row>
    <row r="32">
      <c r="A32" s="20" t="s">
        <v>3499</v>
      </c>
      <c r="B32" s="39" t="s">
        <v>1344</v>
      </c>
      <c r="C32" s="39" t="s">
        <v>1345</v>
      </c>
      <c r="D32" s="39" t="s">
        <v>673</v>
      </c>
      <c r="E32" s="39" t="s">
        <v>3439</v>
      </c>
      <c r="F32" s="39" t="s">
        <v>397</v>
      </c>
      <c r="G32" s="39" t="s">
        <v>3500</v>
      </c>
      <c r="H32" s="39" t="s">
        <v>3500</v>
      </c>
      <c r="I32" s="40">
        <v>34.95</v>
      </c>
      <c r="L32" s="2" t="s">
        <v>66</v>
      </c>
      <c r="N32" s="39" t="s">
        <v>67</v>
      </c>
      <c r="O32" s="39" t="s">
        <v>67</v>
      </c>
      <c r="Q32" s="39">
        <v>0.0</v>
      </c>
      <c r="R32" s="39">
        <v>0.0</v>
      </c>
      <c r="S32" s="39">
        <v>1.0</v>
      </c>
      <c r="T32" s="39">
        <v>0.0</v>
      </c>
      <c r="U32" s="39">
        <v>0.0</v>
      </c>
      <c r="V32" s="39">
        <v>1.0</v>
      </c>
      <c r="W32" s="39">
        <v>0.0</v>
      </c>
      <c r="X32" s="39">
        <v>0.0</v>
      </c>
      <c r="Y32" s="39">
        <v>3.0</v>
      </c>
      <c r="Z32" s="30" t="s">
        <v>3501</v>
      </c>
      <c r="AA32" s="30" t="s">
        <v>266</v>
      </c>
      <c r="AC32" s="39">
        <v>300.0</v>
      </c>
      <c r="AE32" s="39">
        <v>1.0</v>
      </c>
    </row>
    <row r="33">
      <c r="A33" s="20" t="s">
        <v>3502</v>
      </c>
      <c r="B33" s="39" t="s">
        <v>1344</v>
      </c>
      <c r="C33" s="39" t="s">
        <v>1345</v>
      </c>
      <c r="D33" s="39" t="s">
        <v>673</v>
      </c>
      <c r="E33" s="39" t="s">
        <v>3439</v>
      </c>
      <c r="F33" s="39" t="s">
        <v>397</v>
      </c>
      <c r="G33" s="39" t="s">
        <v>3503</v>
      </c>
      <c r="I33" s="40">
        <v>34.008</v>
      </c>
      <c r="L33" s="2" t="s">
        <v>66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U33" s="39">
        <v>0.0</v>
      </c>
      <c r="V33" s="39">
        <v>0.0</v>
      </c>
      <c r="W33" s="39">
        <v>1.0</v>
      </c>
      <c r="X33" s="39">
        <v>0.0</v>
      </c>
      <c r="Y33" s="39">
        <v>0.0</v>
      </c>
      <c r="AC33" s="39">
        <v>400.0</v>
      </c>
      <c r="AE33" s="39">
        <v>1.0</v>
      </c>
    </row>
    <row r="34">
      <c r="A34" s="20" t="s">
        <v>3504</v>
      </c>
      <c r="B34" s="39" t="s">
        <v>1344</v>
      </c>
      <c r="C34" s="39" t="s">
        <v>1345</v>
      </c>
      <c r="D34" s="39" t="s">
        <v>673</v>
      </c>
      <c r="E34" s="39" t="s">
        <v>3439</v>
      </c>
      <c r="F34" s="39" t="s">
        <v>397</v>
      </c>
      <c r="G34" s="39" t="s">
        <v>3505</v>
      </c>
      <c r="H34" s="39" t="s">
        <v>3505</v>
      </c>
      <c r="I34" s="40">
        <v>33.529</v>
      </c>
      <c r="L34" s="2" t="s">
        <v>66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AC34" s="39">
        <v>350.0</v>
      </c>
      <c r="AE34" s="39">
        <v>1.0</v>
      </c>
    </row>
    <row r="35">
      <c r="A35" s="20" t="s">
        <v>3506</v>
      </c>
      <c r="B35" s="39" t="s">
        <v>1335</v>
      </c>
      <c r="C35" s="39" t="s">
        <v>1336</v>
      </c>
      <c r="D35" s="39" t="s">
        <v>673</v>
      </c>
      <c r="E35" s="39" t="s">
        <v>3439</v>
      </c>
      <c r="F35" s="39" t="s">
        <v>397</v>
      </c>
      <c r="G35" s="39" t="s">
        <v>3507</v>
      </c>
      <c r="H35" s="39" t="s">
        <v>3507</v>
      </c>
      <c r="I35" s="40">
        <v>33.114000000000004</v>
      </c>
      <c r="L35" s="2" t="s">
        <v>66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U35" s="39">
        <v>1.0</v>
      </c>
      <c r="V35" s="39">
        <v>1.0</v>
      </c>
      <c r="W35" s="39">
        <v>0.0</v>
      </c>
      <c r="X35" s="39">
        <v>1.0</v>
      </c>
      <c r="Y35" s="39">
        <v>0.0</v>
      </c>
      <c r="Z35" s="30" t="s">
        <v>3508</v>
      </c>
      <c r="AA35" s="30" t="s">
        <v>115</v>
      </c>
      <c r="AC35" s="39">
        <v>400.0</v>
      </c>
      <c r="AE35" s="39">
        <v>1.0</v>
      </c>
    </row>
    <row r="36">
      <c r="A36" s="20" t="s">
        <v>3509</v>
      </c>
      <c r="B36" s="39" t="s">
        <v>1335</v>
      </c>
      <c r="C36" s="39" t="s">
        <v>1336</v>
      </c>
      <c r="D36" s="39" t="s">
        <v>673</v>
      </c>
      <c r="E36" s="39" t="s">
        <v>3439</v>
      </c>
      <c r="F36" s="39" t="s">
        <v>397</v>
      </c>
      <c r="G36" s="39" t="s">
        <v>3510</v>
      </c>
      <c r="H36" s="39" t="s">
        <v>3510</v>
      </c>
      <c r="I36" s="40">
        <v>32.742000000000004</v>
      </c>
      <c r="L36" s="2" t="s">
        <v>66</v>
      </c>
      <c r="N36" s="39" t="s">
        <v>67</v>
      </c>
      <c r="O36" s="39" t="s">
        <v>67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1.0</v>
      </c>
      <c r="X36" s="39">
        <v>0.0</v>
      </c>
      <c r="Y36" s="39">
        <v>0.0</v>
      </c>
      <c r="AC36" s="39">
        <v>400.0</v>
      </c>
      <c r="AE36" s="39">
        <v>1.0</v>
      </c>
    </row>
    <row r="37">
      <c r="A37" s="20" t="s">
        <v>3511</v>
      </c>
      <c r="B37" s="39" t="s">
        <v>1335</v>
      </c>
      <c r="C37" s="39" t="s">
        <v>1336</v>
      </c>
      <c r="D37" s="39" t="s">
        <v>673</v>
      </c>
      <c r="E37" s="39" t="s">
        <v>3439</v>
      </c>
      <c r="F37" s="39" t="s">
        <v>397</v>
      </c>
      <c r="G37" s="39" t="s">
        <v>3510</v>
      </c>
      <c r="H37" s="39" t="s">
        <v>3510</v>
      </c>
      <c r="I37" s="40">
        <v>32.313</v>
      </c>
      <c r="L37" s="2" t="s">
        <v>66</v>
      </c>
      <c r="N37" s="39" t="s">
        <v>67</v>
      </c>
      <c r="O37" s="39" t="s">
        <v>81</v>
      </c>
      <c r="Q37" s="39">
        <v>0.0</v>
      </c>
      <c r="R37" s="39">
        <v>0.0</v>
      </c>
      <c r="S37" s="39">
        <v>1.0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AC37" s="39">
        <v>600.0</v>
      </c>
      <c r="AE37" s="39">
        <v>1.0</v>
      </c>
    </row>
    <row r="38">
      <c r="A38" s="20" t="s">
        <v>3512</v>
      </c>
      <c r="B38" s="39" t="s">
        <v>1335</v>
      </c>
      <c r="C38" s="39" t="s">
        <v>1336</v>
      </c>
      <c r="D38" s="39" t="s">
        <v>673</v>
      </c>
      <c r="E38" s="39" t="s">
        <v>3439</v>
      </c>
      <c r="F38" s="39" t="s">
        <v>397</v>
      </c>
      <c r="G38" s="39" t="s">
        <v>3513</v>
      </c>
      <c r="I38" s="40">
        <v>31.924000000000003</v>
      </c>
      <c r="L38" s="2" t="s">
        <v>66</v>
      </c>
      <c r="N38" s="39" t="s">
        <v>67</v>
      </c>
      <c r="O38" s="39" t="s">
        <v>68</v>
      </c>
      <c r="Q38" s="39">
        <v>0.0</v>
      </c>
      <c r="R38" s="39">
        <v>0.0</v>
      </c>
      <c r="S38" s="39">
        <v>1.0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AC38" s="39">
        <v>500.0</v>
      </c>
      <c r="AE38" s="39">
        <v>1.0</v>
      </c>
    </row>
    <row r="39">
      <c r="A39" s="20" t="s">
        <v>3514</v>
      </c>
      <c r="D39" s="39" t="s">
        <v>673</v>
      </c>
      <c r="E39" s="39" t="s">
        <v>3439</v>
      </c>
      <c r="F39" s="39" t="s">
        <v>397</v>
      </c>
      <c r="G39" s="39" t="s">
        <v>3515</v>
      </c>
      <c r="H39" s="39" t="s">
        <v>3515</v>
      </c>
      <c r="I39" s="40">
        <v>31.506000000000004</v>
      </c>
      <c r="L39" s="40" t="s">
        <v>102</v>
      </c>
      <c r="N39" s="39" t="s">
        <v>67</v>
      </c>
      <c r="O39" s="39" t="s">
        <v>67</v>
      </c>
      <c r="Q39" s="39">
        <v>0.0</v>
      </c>
      <c r="R39" s="39">
        <v>0.0</v>
      </c>
      <c r="S39" s="39">
        <v>1.0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AC39" s="39">
        <v>400.0</v>
      </c>
      <c r="AE39" s="39">
        <v>1.0</v>
      </c>
    </row>
    <row r="40">
      <c r="A40" s="20" t="s">
        <v>3516</v>
      </c>
      <c r="D40" s="39" t="s">
        <v>673</v>
      </c>
      <c r="E40" s="39" t="s">
        <v>3439</v>
      </c>
      <c r="F40" s="39" t="s">
        <v>397</v>
      </c>
      <c r="G40" s="39" t="s">
        <v>3517</v>
      </c>
      <c r="H40" s="39" t="s">
        <v>3517</v>
      </c>
      <c r="I40" s="40">
        <v>31.053000000000004</v>
      </c>
      <c r="L40" s="40" t="s">
        <v>102</v>
      </c>
      <c r="N40" s="39" t="s">
        <v>67</v>
      </c>
      <c r="O40" s="39" t="s">
        <v>67</v>
      </c>
      <c r="Q40" s="39">
        <v>0.0</v>
      </c>
      <c r="R40" s="39">
        <v>0.0</v>
      </c>
      <c r="S40" s="39">
        <v>1.0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AC40" s="39">
        <v>250.0</v>
      </c>
      <c r="AE40" s="39">
        <v>1.0</v>
      </c>
    </row>
    <row r="41">
      <c r="A41" s="20" t="s">
        <v>3518</v>
      </c>
      <c r="D41" s="39" t="s">
        <v>673</v>
      </c>
      <c r="E41" s="39" t="s">
        <v>3439</v>
      </c>
      <c r="F41" s="39" t="s">
        <v>397</v>
      </c>
      <c r="G41" s="39" t="s">
        <v>3519</v>
      </c>
      <c r="H41" s="39" t="s">
        <v>3519</v>
      </c>
      <c r="I41" s="40">
        <v>30.599000000000004</v>
      </c>
      <c r="L41" s="40" t="s">
        <v>102</v>
      </c>
      <c r="N41" s="39" t="s">
        <v>67</v>
      </c>
      <c r="O41" s="39" t="s">
        <v>67</v>
      </c>
      <c r="Q41" s="39">
        <v>0.0</v>
      </c>
      <c r="R41" s="39">
        <v>0.0</v>
      </c>
      <c r="S41" s="39">
        <v>1.0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AC41" s="39">
        <v>250.0</v>
      </c>
      <c r="AE41" s="39">
        <v>1.0</v>
      </c>
    </row>
    <row r="42">
      <c r="A42" s="20" t="s">
        <v>3520</v>
      </c>
      <c r="D42" s="39" t="s">
        <v>673</v>
      </c>
      <c r="E42" s="39" t="s">
        <v>3439</v>
      </c>
      <c r="F42" s="39" t="s">
        <v>397</v>
      </c>
      <c r="G42" s="39" t="s">
        <v>3521</v>
      </c>
      <c r="I42" s="40">
        <v>30.090000000000003</v>
      </c>
      <c r="L42" s="40" t="s">
        <v>102</v>
      </c>
      <c r="N42" s="39" t="s">
        <v>67</v>
      </c>
      <c r="O42" s="39" t="s">
        <v>68</v>
      </c>
      <c r="Q42" s="39">
        <v>0.0</v>
      </c>
      <c r="R42" s="39">
        <v>0.0</v>
      </c>
      <c r="S42" s="39">
        <v>1.0</v>
      </c>
      <c r="T42" s="39">
        <v>0.0</v>
      </c>
      <c r="U42" s="39">
        <v>1.0</v>
      </c>
      <c r="V42" s="39">
        <v>0.0</v>
      </c>
      <c r="W42" s="39">
        <v>0.0</v>
      </c>
      <c r="X42" s="39">
        <v>0.0</v>
      </c>
      <c r="Y42" s="39">
        <v>0.0</v>
      </c>
      <c r="AC42" s="39">
        <v>400.0</v>
      </c>
      <c r="AE42" s="39">
        <v>1.0</v>
      </c>
    </row>
    <row r="43">
      <c r="A43" s="29" t="s">
        <v>3522</v>
      </c>
      <c r="B43" s="39" t="s">
        <v>1316</v>
      </c>
      <c r="C43" s="39" t="s">
        <v>1317</v>
      </c>
      <c r="D43" s="39" t="s">
        <v>673</v>
      </c>
      <c r="E43" s="39" t="s">
        <v>3439</v>
      </c>
      <c r="F43" s="39" t="s">
        <v>397</v>
      </c>
      <c r="G43" s="39" t="s">
        <v>3523</v>
      </c>
      <c r="H43" s="39" t="s">
        <v>3523</v>
      </c>
      <c r="I43" s="40">
        <v>29.638000000000005</v>
      </c>
      <c r="L43" s="2" t="s">
        <v>66</v>
      </c>
      <c r="N43" s="39" t="s">
        <v>67</v>
      </c>
      <c r="O43" s="39" t="s">
        <v>68</v>
      </c>
      <c r="Q43" s="39">
        <v>0.0</v>
      </c>
      <c r="R43" s="39">
        <v>0.0</v>
      </c>
      <c r="S43" s="39">
        <v>1.0</v>
      </c>
      <c r="T43" s="39">
        <v>0.0</v>
      </c>
      <c r="U43" s="39">
        <v>1.0</v>
      </c>
      <c r="V43" s="39">
        <v>1.0</v>
      </c>
      <c r="W43" s="39">
        <v>0.0</v>
      </c>
      <c r="X43" s="39">
        <v>0.0</v>
      </c>
      <c r="Y43" s="39">
        <v>2.0</v>
      </c>
      <c r="Z43" s="30" t="s">
        <v>3524</v>
      </c>
      <c r="AA43" s="30" t="s">
        <v>315</v>
      </c>
      <c r="AC43" s="39">
        <v>700.0</v>
      </c>
      <c r="AE43" s="39">
        <v>1.0</v>
      </c>
    </row>
    <row r="44">
      <c r="A44" s="20" t="s">
        <v>3525</v>
      </c>
      <c r="B44" s="39" t="s">
        <v>1316</v>
      </c>
      <c r="C44" s="39" t="s">
        <v>1317</v>
      </c>
      <c r="D44" s="39" t="s">
        <v>673</v>
      </c>
      <c r="E44" s="39" t="s">
        <v>3439</v>
      </c>
      <c r="F44" s="39" t="s">
        <v>397</v>
      </c>
      <c r="G44" s="39" t="s">
        <v>3526</v>
      </c>
      <c r="I44" s="40">
        <v>29.255000000000003</v>
      </c>
      <c r="L44" s="2" t="s">
        <v>66</v>
      </c>
      <c r="N44" s="39" t="s">
        <v>67</v>
      </c>
      <c r="O44" s="39" t="s">
        <v>67</v>
      </c>
      <c r="Q44" s="39">
        <v>0.0</v>
      </c>
      <c r="R44" s="39">
        <v>0.0</v>
      </c>
      <c r="S44" s="39">
        <v>1.0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AC44" s="39">
        <v>250.0</v>
      </c>
      <c r="AE44" s="39">
        <v>1.0</v>
      </c>
    </row>
    <row r="45">
      <c r="A45" s="29" t="s">
        <v>3527</v>
      </c>
      <c r="B45" s="39" t="s">
        <v>1316</v>
      </c>
      <c r="C45" s="39" t="s">
        <v>1317</v>
      </c>
      <c r="D45" s="39" t="s">
        <v>673</v>
      </c>
      <c r="E45" s="39" t="s">
        <v>3439</v>
      </c>
      <c r="F45" s="39" t="s">
        <v>397</v>
      </c>
      <c r="G45" s="39" t="s">
        <v>3528</v>
      </c>
      <c r="H45" s="39" t="s">
        <v>3528</v>
      </c>
      <c r="I45" s="40">
        <v>28.468000000000004</v>
      </c>
      <c r="L45" s="39" t="s">
        <v>66</v>
      </c>
      <c r="N45" s="39" t="s">
        <v>67</v>
      </c>
      <c r="O45" s="39" t="s">
        <v>68</v>
      </c>
      <c r="Q45" s="39">
        <v>0.0</v>
      </c>
      <c r="R45" s="39">
        <v>0.0</v>
      </c>
      <c r="S45" s="39">
        <v>1.0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AC45" s="39">
        <v>400.0</v>
      </c>
      <c r="AE45" s="39">
        <v>1.0</v>
      </c>
    </row>
    <row r="46">
      <c r="A46" s="20" t="s">
        <v>3529</v>
      </c>
      <c r="D46" s="39" t="s">
        <v>673</v>
      </c>
      <c r="E46" s="39" t="s">
        <v>3439</v>
      </c>
      <c r="F46" s="39" t="s">
        <v>397</v>
      </c>
      <c r="G46" s="39" t="s">
        <v>3530</v>
      </c>
      <c r="H46" s="39" t="s">
        <v>3530</v>
      </c>
      <c r="I46" s="40">
        <v>28.078000000000003</v>
      </c>
      <c r="L46" s="40" t="s">
        <v>102</v>
      </c>
      <c r="N46" s="39" t="s">
        <v>67</v>
      </c>
      <c r="O46" s="39" t="s">
        <v>81</v>
      </c>
      <c r="Q46" s="39">
        <v>0.0</v>
      </c>
      <c r="R46" s="39">
        <v>0.0</v>
      </c>
      <c r="S46" s="39">
        <v>1.0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AC46" s="39">
        <v>350.0</v>
      </c>
      <c r="AE46" s="39">
        <v>1.0</v>
      </c>
    </row>
    <row r="47">
      <c r="A47" s="29" t="s">
        <v>3531</v>
      </c>
      <c r="D47" s="39" t="s">
        <v>673</v>
      </c>
      <c r="E47" s="39" t="s">
        <v>3439</v>
      </c>
      <c r="F47" s="39" t="s">
        <v>397</v>
      </c>
      <c r="G47" s="39" t="s">
        <v>3532</v>
      </c>
      <c r="H47" s="39" t="s">
        <v>3532</v>
      </c>
      <c r="I47" s="40">
        <v>27.676000000000002</v>
      </c>
      <c r="L47" s="40" t="s">
        <v>102</v>
      </c>
      <c r="N47" s="39" t="s">
        <v>67</v>
      </c>
      <c r="O47" s="39" t="s">
        <v>68</v>
      </c>
      <c r="Q47" s="39">
        <v>0.0</v>
      </c>
      <c r="R47" s="39">
        <v>0.0</v>
      </c>
      <c r="S47" s="39">
        <v>1.0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AC47" s="39">
        <v>400.0</v>
      </c>
      <c r="AE47" s="39">
        <v>1.0</v>
      </c>
    </row>
    <row r="48">
      <c r="A48" s="20" t="s">
        <v>3533</v>
      </c>
      <c r="D48" s="39" t="s">
        <v>673</v>
      </c>
      <c r="E48" s="39" t="s">
        <v>3439</v>
      </c>
      <c r="F48" s="39" t="s">
        <v>397</v>
      </c>
      <c r="G48" s="39" t="s">
        <v>3534</v>
      </c>
      <c r="H48" s="39" t="s">
        <v>3534</v>
      </c>
      <c r="I48" s="40">
        <v>27.276000000000003</v>
      </c>
      <c r="L48" s="40" t="s">
        <v>102</v>
      </c>
      <c r="N48" s="39" t="s">
        <v>67</v>
      </c>
      <c r="O48" s="39" t="s">
        <v>67</v>
      </c>
      <c r="Q48" s="39">
        <v>0.0</v>
      </c>
      <c r="R48" s="39">
        <v>0.0</v>
      </c>
      <c r="S48" s="39">
        <v>1.0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AC48" s="39">
        <v>350.0</v>
      </c>
      <c r="AE48" s="39">
        <v>1.0</v>
      </c>
    </row>
    <row r="49">
      <c r="A49" s="20" t="s">
        <v>3535</v>
      </c>
      <c r="D49" s="39" t="s">
        <v>673</v>
      </c>
      <c r="E49" s="39" t="s">
        <v>3439</v>
      </c>
      <c r="F49" s="39" t="s">
        <v>397</v>
      </c>
      <c r="G49" s="39" t="s">
        <v>3536</v>
      </c>
      <c r="H49" s="39" t="s">
        <v>3536</v>
      </c>
      <c r="I49" s="40">
        <v>26.875000000000004</v>
      </c>
      <c r="L49" s="40" t="s">
        <v>102</v>
      </c>
      <c r="N49" s="39" t="s">
        <v>67</v>
      </c>
      <c r="O49" s="39" t="s">
        <v>68</v>
      </c>
      <c r="Q49" s="39">
        <v>0.0</v>
      </c>
      <c r="R49" s="39">
        <v>0.0</v>
      </c>
      <c r="S49" s="39">
        <v>1.0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AC49" s="39">
        <v>400.0</v>
      </c>
      <c r="AE49" s="39">
        <v>1.0</v>
      </c>
    </row>
    <row r="50">
      <c r="A50" s="20" t="s">
        <v>3537</v>
      </c>
      <c r="D50" s="39" t="s">
        <v>673</v>
      </c>
      <c r="E50" s="39" t="s">
        <v>3439</v>
      </c>
      <c r="F50" s="39" t="s">
        <v>397</v>
      </c>
      <c r="G50" s="39" t="s">
        <v>3538</v>
      </c>
      <c r="H50" s="39" t="s">
        <v>3538</v>
      </c>
      <c r="I50" s="40">
        <v>26.410000000000004</v>
      </c>
      <c r="L50" s="40" t="s">
        <v>102</v>
      </c>
      <c r="N50" s="39" t="s">
        <v>67</v>
      </c>
      <c r="O50" s="39" t="s">
        <v>68</v>
      </c>
      <c r="Q50" s="39">
        <v>0.0</v>
      </c>
      <c r="R50" s="39">
        <v>0.0</v>
      </c>
      <c r="S50" s="39">
        <v>1.0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AC50" s="39">
        <v>600.0</v>
      </c>
      <c r="AE50" s="39">
        <v>1.0</v>
      </c>
    </row>
    <row r="51">
      <c r="A51" s="20" t="s">
        <v>3539</v>
      </c>
      <c r="D51" s="39" t="s">
        <v>673</v>
      </c>
      <c r="E51" s="39" t="s">
        <v>3439</v>
      </c>
      <c r="F51" s="39" t="s">
        <v>397</v>
      </c>
      <c r="G51" s="39" t="s">
        <v>3540</v>
      </c>
      <c r="H51" s="39" t="s">
        <v>3540</v>
      </c>
      <c r="I51" s="40">
        <v>25.860000000000003</v>
      </c>
      <c r="L51" s="40" t="s">
        <v>102</v>
      </c>
      <c r="N51" s="39" t="s">
        <v>67</v>
      </c>
      <c r="O51" s="39" t="s">
        <v>68</v>
      </c>
      <c r="Q51" s="39">
        <v>0.0</v>
      </c>
      <c r="R51" s="39">
        <v>0.0</v>
      </c>
      <c r="S51" s="39">
        <v>1.0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AC51" s="39">
        <v>700.0</v>
      </c>
      <c r="AE51" s="39">
        <v>1.0</v>
      </c>
    </row>
    <row r="52">
      <c r="A52" s="20" t="s">
        <v>3541</v>
      </c>
      <c r="D52" s="39" t="s">
        <v>673</v>
      </c>
      <c r="E52" s="39" t="s">
        <v>3439</v>
      </c>
      <c r="F52" s="39" t="s">
        <v>397</v>
      </c>
      <c r="G52" s="39" t="s">
        <v>3542</v>
      </c>
      <c r="H52" s="39" t="s">
        <v>3542</v>
      </c>
      <c r="I52" s="40">
        <v>25.377000000000002</v>
      </c>
      <c r="L52" s="40" t="s">
        <v>102</v>
      </c>
      <c r="N52" s="39" t="s">
        <v>67</v>
      </c>
      <c r="O52" s="39" t="s">
        <v>68</v>
      </c>
      <c r="Q52" s="39">
        <v>0.0</v>
      </c>
      <c r="R52" s="39">
        <v>0.0</v>
      </c>
      <c r="S52" s="39">
        <v>1.0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AC52" s="39">
        <v>800.0</v>
      </c>
      <c r="AE52" s="39">
        <v>1.0</v>
      </c>
    </row>
    <row r="53">
      <c r="A53" s="20" t="s">
        <v>3543</v>
      </c>
      <c r="D53" s="39" t="s">
        <v>673</v>
      </c>
      <c r="E53" s="39" t="s">
        <v>3439</v>
      </c>
      <c r="F53" s="39" t="s">
        <v>397</v>
      </c>
      <c r="G53" s="39" t="s">
        <v>3544</v>
      </c>
      <c r="H53" s="39" t="s">
        <v>3544</v>
      </c>
      <c r="I53" s="40">
        <v>24.897000000000006</v>
      </c>
      <c r="L53" s="40" t="s">
        <v>102</v>
      </c>
      <c r="N53" s="39" t="s">
        <v>67</v>
      </c>
      <c r="O53" s="39" t="s">
        <v>68</v>
      </c>
      <c r="Q53" s="39">
        <v>0.0</v>
      </c>
      <c r="R53" s="39">
        <v>0.0</v>
      </c>
      <c r="S53" s="39">
        <v>1.0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AC53" s="39">
        <v>500.0</v>
      </c>
      <c r="AE53" s="39">
        <v>1.0</v>
      </c>
    </row>
    <row r="54">
      <c r="A54" s="20" t="s">
        <v>3545</v>
      </c>
      <c r="D54" s="39" t="s">
        <v>673</v>
      </c>
      <c r="E54" s="39" t="s">
        <v>3439</v>
      </c>
      <c r="F54" s="39" t="s">
        <v>397</v>
      </c>
      <c r="G54" s="39" t="s">
        <v>3546</v>
      </c>
      <c r="H54" s="39" t="s">
        <v>3546</v>
      </c>
      <c r="I54" s="40">
        <v>24.363000000000003</v>
      </c>
      <c r="L54" s="40" t="s">
        <v>102</v>
      </c>
      <c r="N54" s="39" t="s">
        <v>67</v>
      </c>
      <c r="O54" s="39" t="s">
        <v>68</v>
      </c>
      <c r="Q54" s="39">
        <v>0.0</v>
      </c>
      <c r="R54" s="39">
        <v>0.0</v>
      </c>
      <c r="S54" s="39">
        <v>1.0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AC54" s="39">
        <v>600.0</v>
      </c>
      <c r="AE54" s="39">
        <v>1.0</v>
      </c>
    </row>
    <row r="55">
      <c r="A55" s="20" t="s">
        <v>3547</v>
      </c>
      <c r="D55" s="39" t="s">
        <v>673</v>
      </c>
      <c r="E55" s="39" t="s">
        <v>3439</v>
      </c>
      <c r="F55" s="39" t="s">
        <v>397</v>
      </c>
      <c r="G55" s="39" t="s">
        <v>3548</v>
      </c>
      <c r="H55" s="39" t="s">
        <v>3548</v>
      </c>
      <c r="I55" s="40">
        <v>23.930000000000003</v>
      </c>
      <c r="L55" s="40" t="s">
        <v>102</v>
      </c>
      <c r="N55" s="39" t="s">
        <v>67</v>
      </c>
      <c r="O55" s="39" t="s">
        <v>68</v>
      </c>
      <c r="Q55" s="39">
        <v>0.0</v>
      </c>
      <c r="R55" s="39">
        <v>0.0</v>
      </c>
      <c r="S55" s="39">
        <v>1.0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AC55" s="39">
        <v>1000.0</v>
      </c>
      <c r="AE55" s="39">
        <v>1.0</v>
      </c>
    </row>
    <row r="56">
      <c r="A56" s="20" t="s">
        <v>3549</v>
      </c>
      <c r="D56" s="39" t="s">
        <v>673</v>
      </c>
      <c r="E56" s="39" t="s">
        <v>3439</v>
      </c>
      <c r="F56" s="39" t="s">
        <v>397</v>
      </c>
      <c r="G56" s="39" t="s">
        <v>3550</v>
      </c>
      <c r="H56" s="39" t="s">
        <v>3550</v>
      </c>
      <c r="I56" s="40">
        <v>23.539</v>
      </c>
      <c r="L56" s="40" t="s">
        <v>102</v>
      </c>
      <c r="N56" s="39" t="s">
        <v>67</v>
      </c>
      <c r="O56" s="39" t="s">
        <v>67</v>
      </c>
      <c r="Q56" s="39">
        <v>0.0</v>
      </c>
      <c r="R56" s="39">
        <v>0.0</v>
      </c>
      <c r="S56" s="39">
        <v>1.0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AC56" s="39">
        <v>400.0</v>
      </c>
      <c r="AE56" s="39">
        <v>1.0</v>
      </c>
    </row>
    <row r="57">
      <c r="A57" s="20" t="s">
        <v>3551</v>
      </c>
      <c r="D57" s="39" t="s">
        <v>673</v>
      </c>
      <c r="E57" s="39" t="s">
        <v>3439</v>
      </c>
      <c r="F57" s="39" t="s">
        <v>397</v>
      </c>
      <c r="G57" s="39" t="s">
        <v>3552</v>
      </c>
      <c r="H57" s="39" t="s">
        <v>3552</v>
      </c>
      <c r="I57" s="40">
        <v>23.159000000000006</v>
      </c>
      <c r="L57" s="40" t="s">
        <v>102</v>
      </c>
      <c r="N57" s="39" t="s">
        <v>67</v>
      </c>
      <c r="O57" s="39" t="s">
        <v>68</v>
      </c>
      <c r="Q57" s="39">
        <v>0.0</v>
      </c>
      <c r="R57" s="39">
        <v>0.0</v>
      </c>
      <c r="S57" s="39">
        <v>1.0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AC57" s="39">
        <v>600.0</v>
      </c>
      <c r="AE57" s="39">
        <v>1.0</v>
      </c>
    </row>
    <row r="58">
      <c r="A58" s="20" t="s">
        <v>3553</v>
      </c>
      <c r="D58" s="39" t="s">
        <v>673</v>
      </c>
      <c r="E58" s="39" t="s">
        <v>3439</v>
      </c>
      <c r="F58" s="39" t="s">
        <v>397</v>
      </c>
      <c r="G58" s="39" t="s">
        <v>3554</v>
      </c>
      <c r="H58" s="39" t="s">
        <v>3554</v>
      </c>
      <c r="I58" s="40">
        <v>22.804000000000002</v>
      </c>
      <c r="L58" s="40" t="s">
        <v>102</v>
      </c>
      <c r="N58" s="39" t="s">
        <v>67</v>
      </c>
      <c r="O58" s="39" t="s">
        <v>68</v>
      </c>
      <c r="Q58" s="39">
        <v>0.0</v>
      </c>
      <c r="R58" s="39">
        <v>0.0</v>
      </c>
      <c r="S58" s="39">
        <v>1.0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AC58" s="39">
        <v>1000.0</v>
      </c>
      <c r="AE58" s="39">
        <v>1.0</v>
      </c>
    </row>
    <row r="59">
      <c r="A59" s="29" t="s">
        <v>3555</v>
      </c>
      <c r="B59" s="39" t="s">
        <v>1279</v>
      </c>
      <c r="C59" s="39" t="s">
        <v>1280</v>
      </c>
      <c r="D59" s="39" t="s">
        <v>673</v>
      </c>
      <c r="E59" s="39" t="s">
        <v>3439</v>
      </c>
      <c r="F59" s="39" t="s">
        <v>397</v>
      </c>
      <c r="G59" s="39" t="s">
        <v>3556</v>
      </c>
      <c r="H59" s="39" t="s">
        <v>3556</v>
      </c>
      <c r="I59" s="40">
        <v>22.435000000000002</v>
      </c>
      <c r="L59" s="2" t="s">
        <v>66</v>
      </c>
      <c r="N59" s="39" t="s">
        <v>67</v>
      </c>
      <c r="O59" s="39" t="s">
        <v>67</v>
      </c>
      <c r="Q59" s="39">
        <v>0.0</v>
      </c>
      <c r="R59" s="39">
        <v>0.0</v>
      </c>
      <c r="S59" s="39">
        <v>1.0</v>
      </c>
      <c r="T59" s="39">
        <v>0.0</v>
      </c>
      <c r="U59" s="39">
        <v>0.0</v>
      </c>
      <c r="V59" s="39">
        <v>1.0</v>
      </c>
      <c r="W59" s="39">
        <v>0.0</v>
      </c>
      <c r="X59" s="39">
        <v>0.0</v>
      </c>
      <c r="Y59" s="39">
        <v>1.0</v>
      </c>
      <c r="Z59" s="30" t="s">
        <v>3557</v>
      </c>
      <c r="AA59" s="30" t="s">
        <v>97</v>
      </c>
      <c r="AC59" s="39">
        <v>600.0</v>
      </c>
      <c r="AE59" s="39">
        <v>1.0</v>
      </c>
    </row>
    <row r="60">
      <c r="A60" s="29" t="s">
        <v>3558</v>
      </c>
      <c r="B60" s="39" t="s">
        <v>1279</v>
      </c>
      <c r="C60" s="39" t="s">
        <v>1280</v>
      </c>
      <c r="D60" s="39" t="s">
        <v>673</v>
      </c>
      <c r="E60" s="39" t="s">
        <v>3439</v>
      </c>
      <c r="F60" s="39" t="s">
        <v>397</v>
      </c>
      <c r="G60" s="39" t="s">
        <v>3559</v>
      </c>
      <c r="H60" s="39" t="s">
        <v>3559</v>
      </c>
      <c r="I60" s="40">
        <v>22.032000000000004</v>
      </c>
      <c r="L60" s="2" t="s">
        <v>66</v>
      </c>
      <c r="N60" s="39" t="s">
        <v>67</v>
      </c>
      <c r="O60" s="39" t="s">
        <v>67</v>
      </c>
      <c r="Q60" s="39">
        <v>0.0</v>
      </c>
      <c r="R60" s="39">
        <v>0.0</v>
      </c>
      <c r="S60" s="39">
        <v>1.0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AC60" s="39">
        <v>400.0</v>
      </c>
      <c r="AE60" s="39">
        <v>1.0</v>
      </c>
    </row>
    <row r="61">
      <c r="A61" s="29" t="s">
        <v>3560</v>
      </c>
      <c r="B61" s="39" t="s">
        <v>1279</v>
      </c>
      <c r="C61" s="39" t="s">
        <v>1280</v>
      </c>
      <c r="D61" s="39" t="s">
        <v>673</v>
      </c>
      <c r="E61" s="39" t="s">
        <v>3439</v>
      </c>
      <c r="F61" s="39" t="s">
        <v>397</v>
      </c>
      <c r="G61" s="39" t="s">
        <v>3561</v>
      </c>
      <c r="I61" s="40">
        <v>21.448000000000004</v>
      </c>
      <c r="L61" s="2" t="s">
        <v>66</v>
      </c>
      <c r="N61" s="39" t="s">
        <v>67</v>
      </c>
      <c r="O61" s="39" t="s">
        <v>81</v>
      </c>
      <c r="Q61" s="39">
        <v>0.0</v>
      </c>
      <c r="R61" s="39">
        <v>0.0</v>
      </c>
      <c r="S61" s="39">
        <v>1.0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AC61" s="39">
        <v>250.0</v>
      </c>
      <c r="AE61" s="39">
        <v>1.0</v>
      </c>
    </row>
    <row r="62">
      <c r="A62" s="29" t="s">
        <v>3562</v>
      </c>
      <c r="B62" s="39" t="s">
        <v>1279</v>
      </c>
      <c r="C62" s="39" t="s">
        <v>1280</v>
      </c>
      <c r="D62" s="39" t="s">
        <v>673</v>
      </c>
      <c r="E62" s="39" t="s">
        <v>3439</v>
      </c>
      <c r="F62" s="39" t="s">
        <v>397</v>
      </c>
      <c r="G62" s="39" t="s">
        <v>3563</v>
      </c>
      <c r="H62" s="39" t="s">
        <v>3563</v>
      </c>
      <c r="I62" s="40">
        <v>21.03</v>
      </c>
      <c r="L62" s="2" t="s">
        <v>66</v>
      </c>
      <c r="N62" s="39" t="s">
        <v>67</v>
      </c>
      <c r="O62" s="39" t="s">
        <v>68</v>
      </c>
      <c r="Q62" s="39">
        <v>0.0</v>
      </c>
      <c r="R62" s="39">
        <v>0.0</v>
      </c>
      <c r="S62" s="39">
        <v>1.0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AC62" s="39">
        <v>300.0</v>
      </c>
      <c r="AE62" s="39">
        <v>1.0</v>
      </c>
    </row>
    <row r="63">
      <c r="A63" s="20" t="s">
        <v>3564</v>
      </c>
      <c r="D63" s="39" t="s">
        <v>673</v>
      </c>
      <c r="E63" s="39" t="s">
        <v>3439</v>
      </c>
      <c r="F63" s="39" t="s">
        <v>397</v>
      </c>
      <c r="G63" s="39" t="s">
        <v>3565</v>
      </c>
      <c r="H63" s="39" t="s">
        <v>3565</v>
      </c>
      <c r="I63" s="40">
        <v>20.694000000000003</v>
      </c>
      <c r="L63" s="40" t="s">
        <v>102</v>
      </c>
      <c r="N63" s="39" t="s">
        <v>67</v>
      </c>
      <c r="O63" s="39" t="s">
        <v>68</v>
      </c>
      <c r="Q63" s="39">
        <v>0.0</v>
      </c>
      <c r="R63" s="39">
        <v>0.0</v>
      </c>
      <c r="S63" s="39">
        <v>1.0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AC63" s="39">
        <v>400.0</v>
      </c>
      <c r="AE63" s="39">
        <v>1.0</v>
      </c>
    </row>
    <row r="64">
      <c r="A64" s="20" t="s">
        <v>3566</v>
      </c>
      <c r="D64" s="39" t="s">
        <v>673</v>
      </c>
      <c r="E64" s="39" t="s">
        <v>3439</v>
      </c>
      <c r="F64" s="39" t="s">
        <v>397</v>
      </c>
      <c r="G64" s="39" t="s">
        <v>3567</v>
      </c>
      <c r="I64" s="40">
        <v>19.880000000000003</v>
      </c>
      <c r="L64" s="40" t="s">
        <v>102</v>
      </c>
      <c r="N64" s="39" t="s">
        <v>67</v>
      </c>
      <c r="O64" s="39" t="s">
        <v>68</v>
      </c>
      <c r="Q64" s="39">
        <v>0.0</v>
      </c>
      <c r="R64" s="39">
        <v>0.0</v>
      </c>
      <c r="S64" s="39">
        <v>1.0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AC64" s="39">
        <v>400.0</v>
      </c>
      <c r="AE64" s="39">
        <v>1.0</v>
      </c>
    </row>
    <row r="65">
      <c r="A65" s="20" t="s">
        <v>3568</v>
      </c>
      <c r="D65" s="39" t="s">
        <v>673</v>
      </c>
      <c r="E65" s="39" t="s">
        <v>3439</v>
      </c>
      <c r="F65" s="39" t="s">
        <v>397</v>
      </c>
      <c r="G65" s="39" t="s">
        <v>3569</v>
      </c>
      <c r="H65" s="39" t="s">
        <v>3569</v>
      </c>
      <c r="I65" s="40">
        <v>19.001000000000005</v>
      </c>
      <c r="L65" s="40" t="s">
        <v>102</v>
      </c>
      <c r="N65" s="39" t="s">
        <v>67</v>
      </c>
      <c r="O65" s="39" t="s">
        <v>67</v>
      </c>
      <c r="Q65" s="39">
        <v>0.0</v>
      </c>
      <c r="R65" s="39">
        <v>0.0</v>
      </c>
      <c r="S65" s="39">
        <v>1.0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AC65" s="39">
        <v>400.0</v>
      </c>
      <c r="AE65" s="39">
        <v>1.0</v>
      </c>
    </row>
    <row r="66">
      <c r="A66" s="20" t="s">
        <v>3570</v>
      </c>
      <c r="B66" s="39" t="s">
        <v>1263</v>
      </c>
      <c r="C66" s="39" t="s">
        <v>1264</v>
      </c>
      <c r="D66" s="39" t="s">
        <v>673</v>
      </c>
      <c r="E66" s="39" t="s">
        <v>3439</v>
      </c>
      <c r="F66" s="39" t="s">
        <v>397</v>
      </c>
      <c r="G66" s="39" t="s">
        <v>3571</v>
      </c>
      <c r="H66" s="39" t="s">
        <v>3571</v>
      </c>
      <c r="I66" s="40">
        <v>18.381000000000004</v>
      </c>
      <c r="L66" s="2" t="s">
        <v>66</v>
      </c>
      <c r="N66" s="39" t="s">
        <v>67</v>
      </c>
      <c r="O66" s="39" t="s">
        <v>68</v>
      </c>
      <c r="Q66" s="39">
        <v>0.0</v>
      </c>
      <c r="R66" s="39">
        <v>0.0</v>
      </c>
      <c r="S66" s="39">
        <v>1.0</v>
      </c>
      <c r="T66" s="39">
        <v>0.0</v>
      </c>
      <c r="U66" s="39">
        <v>0.0</v>
      </c>
      <c r="V66" s="39">
        <v>0.0</v>
      </c>
      <c r="W66" s="39">
        <v>0.0</v>
      </c>
      <c r="X66" s="39">
        <v>0.0</v>
      </c>
      <c r="Y66" s="39">
        <v>0.0</v>
      </c>
      <c r="AC66" s="39">
        <v>500.0</v>
      </c>
      <c r="AE66" s="39">
        <v>1.0</v>
      </c>
    </row>
    <row r="67">
      <c r="A67" s="20" t="s">
        <v>3572</v>
      </c>
      <c r="B67" s="39" t="s">
        <v>1263</v>
      </c>
      <c r="C67" s="39" t="s">
        <v>1264</v>
      </c>
      <c r="D67" s="39" t="s">
        <v>673</v>
      </c>
      <c r="E67" s="39" t="s">
        <v>3439</v>
      </c>
      <c r="F67" s="39" t="s">
        <v>397</v>
      </c>
      <c r="G67" s="39" t="s">
        <v>3573</v>
      </c>
      <c r="I67" s="40">
        <v>17.790000000000003</v>
      </c>
      <c r="L67" s="2" t="s">
        <v>66</v>
      </c>
      <c r="N67" s="39" t="s">
        <v>81</v>
      </c>
      <c r="O67" s="39" t="s">
        <v>68</v>
      </c>
      <c r="Q67" s="39">
        <v>1.0</v>
      </c>
      <c r="R67" s="39">
        <v>0.0</v>
      </c>
      <c r="S67" s="39">
        <v>0.0</v>
      </c>
      <c r="T67" s="39">
        <v>0.0</v>
      </c>
      <c r="U67" s="39">
        <v>0.0</v>
      </c>
      <c r="V67" s="39">
        <v>0.0</v>
      </c>
      <c r="W67" s="39">
        <v>0.0</v>
      </c>
      <c r="X67" s="39">
        <v>0.0</v>
      </c>
      <c r="Y67" s="39">
        <v>0.0</v>
      </c>
      <c r="AC67" s="39">
        <v>400.0</v>
      </c>
      <c r="AE67" s="39">
        <v>1.0</v>
      </c>
    </row>
    <row r="68">
      <c r="A68" s="20" t="s">
        <v>3574</v>
      </c>
      <c r="D68" s="39" t="s">
        <v>673</v>
      </c>
      <c r="E68" s="39" t="s">
        <v>3439</v>
      </c>
      <c r="F68" s="39" t="s">
        <v>397</v>
      </c>
      <c r="G68" s="39" t="s">
        <v>3575</v>
      </c>
      <c r="H68" s="39" t="s">
        <v>3575</v>
      </c>
      <c r="I68" s="40">
        <v>17.373000000000005</v>
      </c>
      <c r="L68" s="40" t="s">
        <v>102</v>
      </c>
      <c r="N68" s="39" t="s">
        <v>67</v>
      </c>
      <c r="O68" s="39" t="s">
        <v>68</v>
      </c>
      <c r="Q68" s="39">
        <v>0.0</v>
      </c>
      <c r="R68" s="39">
        <v>0.0</v>
      </c>
      <c r="S68" s="39">
        <v>1.0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AC68" s="39">
        <v>400.0</v>
      </c>
      <c r="AE68" s="39">
        <v>1.0</v>
      </c>
    </row>
    <row r="69">
      <c r="A69" s="20" t="s">
        <v>3576</v>
      </c>
      <c r="B69" s="39" t="s">
        <v>172</v>
      </c>
      <c r="C69" s="39" t="s">
        <v>173</v>
      </c>
      <c r="D69" s="39" t="s">
        <v>673</v>
      </c>
      <c r="E69" s="39" t="s">
        <v>3439</v>
      </c>
      <c r="F69" s="39" t="s">
        <v>397</v>
      </c>
      <c r="G69" s="39" t="s">
        <v>3577</v>
      </c>
      <c r="H69" s="39" t="s">
        <v>3577</v>
      </c>
      <c r="I69" s="40">
        <v>16.673000000000002</v>
      </c>
      <c r="L69" s="2" t="s">
        <v>66</v>
      </c>
      <c r="N69" s="39" t="s">
        <v>67</v>
      </c>
      <c r="O69" s="39" t="s">
        <v>68</v>
      </c>
      <c r="Q69" s="39">
        <v>0.0</v>
      </c>
      <c r="R69" s="39">
        <v>0.0</v>
      </c>
      <c r="S69" s="39">
        <v>1.0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AC69" s="39">
        <v>800.0</v>
      </c>
      <c r="AE69" s="39">
        <v>1.0</v>
      </c>
    </row>
    <row r="70">
      <c r="A70" s="20" t="s">
        <v>3578</v>
      </c>
      <c r="B70" s="39" t="s">
        <v>172</v>
      </c>
      <c r="C70" s="39" t="s">
        <v>173</v>
      </c>
      <c r="D70" s="39" t="s">
        <v>673</v>
      </c>
      <c r="E70" s="39" t="s">
        <v>3439</v>
      </c>
      <c r="F70" s="39" t="s">
        <v>397</v>
      </c>
      <c r="G70" s="39" t="s">
        <v>3579</v>
      </c>
      <c r="H70" s="39" t="s">
        <v>3579</v>
      </c>
      <c r="I70" s="40">
        <v>16.102000000000004</v>
      </c>
      <c r="L70" s="2" t="s">
        <v>66</v>
      </c>
      <c r="N70" s="39" t="s">
        <v>67</v>
      </c>
      <c r="O70" s="39" t="s">
        <v>67</v>
      </c>
      <c r="Q70" s="39">
        <v>0.0</v>
      </c>
      <c r="R70" s="39">
        <v>0.0</v>
      </c>
      <c r="S70" s="39">
        <v>1.0</v>
      </c>
      <c r="T70" s="39">
        <v>0.0</v>
      </c>
      <c r="U70" s="39">
        <v>0.0</v>
      </c>
      <c r="V70" s="39">
        <v>1.0</v>
      </c>
      <c r="W70" s="39">
        <v>0.0</v>
      </c>
      <c r="X70" s="39">
        <v>1.0</v>
      </c>
      <c r="Y70" s="39">
        <v>0.0</v>
      </c>
      <c r="Z70" s="30" t="s">
        <v>3580</v>
      </c>
      <c r="AA70" s="30" t="s">
        <v>115</v>
      </c>
      <c r="AC70" s="39">
        <v>200.0</v>
      </c>
      <c r="AE70" s="39">
        <v>1.0</v>
      </c>
    </row>
    <row r="71">
      <c r="A71" s="20" t="s">
        <v>3581</v>
      </c>
      <c r="B71" s="39" t="s">
        <v>172</v>
      </c>
      <c r="C71" s="39" t="s">
        <v>173</v>
      </c>
      <c r="D71" s="39" t="s">
        <v>673</v>
      </c>
      <c r="E71" s="39" t="s">
        <v>3439</v>
      </c>
      <c r="F71" s="39" t="s">
        <v>397</v>
      </c>
      <c r="G71" s="39" t="s">
        <v>3582</v>
      </c>
      <c r="I71" s="40">
        <v>15.564000000000004</v>
      </c>
      <c r="L71" s="2" t="s">
        <v>66</v>
      </c>
      <c r="N71" s="39" t="s">
        <v>81</v>
      </c>
      <c r="O71" s="39" t="s">
        <v>68</v>
      </c>
      <c r="Q71" s="39">
        <v>1.0</v>
      </c>
      <c r="R71" s="39">
        <v>0.0</v>
      </c>
      <c r="S71" s="39">
        <v>0.0</v>
      </c>
      <c r="T71" s="39">
        <v>0.0</v>
      </c>
      <c r="U71" s="39">
        <v>1.0</v>
      </c>
      <c r="V71" s="39">
        <v>0.0</v>
      </c>
      <c r="W71" s="39">
        <v>1.0</v>
      </c>
      <c r="X71" s="39">
        <v>0.0</v>
      </c>
      <c r="Y71" s="39">
        <v>0.0</v>
      </c>
      <c r="AC71" s="39">
        <v>500.0</v>
      </c>
      <c r="AE71" s="39">
        <v>1.0</v>
      </c>
    </row>
    <row r="72">
      <c r="A72" s="20" t="s">
        <v>3583</v>
      </c>
      <c r="B72" s="39" t="s">
        <v>172</v>
      </c>
      <c r="C72" s="39" t="s">
        <v>173</v>
      </c>
      <c r="D72" s="39" t="s">
        <v>673</v>
      </c>
      <c r="E72" s="39" t="s">
        <v>3439</v>
      </c>
      <c r="F72" s="39" t="s">
        <v>397</v>
      </c>
      <c r="G72" s="39" t="s">
        <v>3584</v>
      </c>
      <c r="H72" s="39" t="s">
        <v>3584</v>
      </c>
      <c r="I72" s="40">
        <v>14.871000000000002</v>
      </c>
      <c r="L72" s="2" t="s">
        <v>66</v>
      </c>
      <c r="N72" s="39" t="s">
        <v>67</v>
      </c>
      <c r="O72" s="39" t="s">
        <v>67</v>
      </c>
      <c r="Q72" s="39">
        <v>0.0</v>
      </c>
      <c r="R72" s="39">
        <v>0.0</v>
      </c>
      <c r="S72" s="39">
        <v>1.0</v>
      </c>
      <c r="T72" s="39">
        <v>0.0</v>
      </c>
      <c r="U72" s="39">
        <v>0.0</v>
      </c>
      <c r="V72" s="39">
        <v>1.0</v>
      </c>
      <c r="W72" s="39">
        <v>0.0</v>
      </c>
      <c r="X72" s="39">
        <v>0.0</v>
      </c>
      <c r="Y72" s="39">
        <v>1.0</v>
      </c>
      <c r="Z72" s="30" t="s">
        <v>3585</v>
      </c>
      <c r="AA72" s="30" t="s">
        <v>97</v>
      </c>
      <c r="AC72" s="39">
        <v>500.0</v>
      </c>
      <c r="AE72" s="39">
        <v>1.0</v>
      </c>
    </row>
    <row r="73">
      <c r="A73" s="20" t="s">
        <v>3586</v>
      </c>
      <c r="D73" s="39" t="s">
        <v>673</v>
      </c>
      <c r="E73" s="39" t="s">
        <v>3439</v>
      </c>
      <c r="F73" s="39" t="s">
        <v>397</v>
      </c>
      <c r="G73" s="39" t="s">
        <v>3587</v>
      </c>
      <c r="H73" s="39" t="s">
        <v>3587</v>
      </c>
      <c r="I73" s="40">
        <v>14.115000000000002</v>
      </c>
      <c r="L73" s="40" t="s">
        <v>102</v>
      </c>
      <c r="N73" s="39" t="s">
        <v>67</v>
      </c>
      <c r="O73" s="39" t="s">
        <v>67</v>
      </c>
      <c r="Q73" s="39">
        <v>0.0</v>
      </c>
      <c r="R73" s="39">
        <v>0.0</v>
      </c>
      <c r="S73" s="39">
        <v>1.0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AC73" s="39">
        <v>300.0</v>
      </c>
      <c r="AE73" s="39">
        <v>1.0</v>
      </c>
    </row>
    <row r="74">
      <c r="A74" s="20" t="s">
        <v>3588</v>
      </c>
      <c r="D74" s="39" t="s">
        <v>673</v>
      </c>
      <c r="E74" s="39" t="s">
        <v>3439</v>
      </c>
      <c r="F74" s="39" t="s">
        <v>397</v>
      </c>
      <c r="G74" s="39" t="s">
        <v>3589</v>
      </c>
      <c r="I74" s="40">
        <v>13.446000000000005</v>
      </c>
      <c r="L74" s="40" t="s">
        <v>102</v>
      </c>
      <c r="N74" s="39" t="s">
        <v>67</v>
      </c>
      <c r="O74" s="39" t="s">
        <v>67</v>
      </c>
      <c r="Q74" s="39">
        <v>0.0</v>
      </c>
      <c r="R74" s="39">
        <v>0.0</v>
      </c>
      <c r="S74" s="39">
        <v>1.0</v>
      </c>
      <c r="T74" s="39">
        <v>0.0</v>
      </c>
      <c r="U74" s="39">
        <v>0.0</v>
      </c>
      <c r="V74" s="39">
        <v>0.0</v>
      </c>
      <c r="W74" s="39">
        <v>0.0</v>
      </c>
      <c r="X74" s="39">
        <v>0.0</v>
      </c>
      <c r="Y74" s="39">
        <v>0.0</v>
      </c>
      <c r="AC74" s="39">
        <v>250.0</v>
      </c>
      <c r="AE74" s="39">
        <v>1.0</v>
      </c>
    </row>
    <row r="75">
      <c r="A75" s="20" t="s">
        <v>3590</v>
      </c>
      <c r="D75" s="39" t="s">
        <v>673</v>
      </c>
      <c r="E75" s="39" t="s">
        <v>3439</v>
      </c>
      <c r="F75" s="39" t="s">
        <v>397</v>
      </c>
      <c r="G75" s="39" t="s">
        <v>3591</v>
      </c>
      <c r="H75" s="39" t="s">
        <v>3591</v>
      </c>
      <c r="I75" s="40">
        <v>12.915000000000003</v>
      </c>
      <c r="L75" s="40" t="s">
        <v>102</v>
      </c>
      <c r="N75" s="39" t="s">
        <v>67</v>
      </c>
      <c r="O75" s="39" t="s">
        <v>81</v>
      </c>
      <c r="Q75" s="39">
        <v>0.0</v>
      </c>
      <c r="R75" s="39">
        <v>0.0</v>
      </c>
      <c r="S75" s="39">
        <v>1.0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AC75" s="39">
        <v>400.0</v>
      </c>
      <c r="AE75" s="39">
        <v>1.0</v>
      </c>
    </row>
    <row r="76">
      <c r="A76" s="20" t="s">
        <v>3592</v>
      </c>
      <c r="D76" s="39" t="s">
        <v>673</v>
      </c>
      <c r="E76" s="39" t="s">
        <v>3439</v>
      </c>
      <c r="F76" s="39" t="s">
        <v>397</v>
      </c>
      <c r="G76" s="39" t="s">
        <v>3593</v>
      </c>
      <c r="I76" s="40">
        <v>12.036000000000005</v>
      </c>
      <c r="L76" s="40" t="s">
        <v>102</v>
      </c>
      <c r="N76" s="39" t="s">
        <v>67</v>
      </c>
      <c r="O76" s="39" t="s">
        <v>68</v>
      </c>
      <c r="Q76" s="39">
        <v>0.0</v>
      </c>
      <c r="R76" s="39">
        <v>0.0</v>
      </c>
      <c r="S76" s="39">
        <v>1.0</v>
      </c>
      <c r="T76" s="39">
        <v>0.0</v>
      </c>
      <c r="U76" s="39">
        <v>0.0</v>
      </c>
      <c r="V76" s="39">
        <v>0.0</v>
      </c>
      <c r="W76" s="39">
        <v>0.0</v>
      </c>
      <c r="X76" s="39">
        <v>0.0</v>
      </c>
      <c r="Y76" s="39">
        <v>0.0</v>
      </c>
      <c r="AC76" s="39">
        <v>500.0</v>
      </c>
      <c r="AE76" s="39">
        <v>1.0</v>
      </c>
    </row>
    <row r="77">
      <c r="A77" s="20" t="s">
        <v>3594</v>
      </c>
      <c r="B77" s="39" t="s">
        <v>1225</v>
      </c>
      <c r="C77" s="39" t="s">
        <v>3595</v>
      </c>
      <c r="D77" s="39" t="s">
        <v>673</v>
      </c>
      <c r="E77" s="39" t="s">
        <v>3439</v>
      </c>
      <c r="F77" s="39" t="s">
        <v>397</v>
      </c>
      <c r="G77" s="39" t="s">
        <v>3596</v>
      </c>
      <c r="H77" s="39" t="s">
        <v>3596</v>
      </c>
      <c r="I77" s="40">
        <v>11.251000000000005</v>
      </c>
      <c r="L77" s="2" t="s">
        <v>66</v>
      </c>
      <c r="N77" s="39" t="s">
        <v>67</v>
      </c>
      <c r="O77" s="39" t="s">
        <v>67</v>
      </c>
      <c r="Q77" s="39">
        <v>0.0</v>
      </c>
      <c r="R77" s="39">
        <v>0.0</v>
      </c>
      <c r="S77" s="39">
        <v>1.0</v>
      </c>
      <c r="T77" s="39">
        <v>0.0</v>
      </c>
      <c r="U77" s="39">
        <v>0.0</v>
      </c>
      <c r="V77" s="39">
        <v>1.0</v>
      </c>
      <c r="W77" s="39">
        <v>0.0</v>
      </c>
      <c r="X77" s="39">
        <v>1.0</v>
      </c>
      <c r="Y77" s="39">
        <v>0.0</v>
      </c>
      <c r="Z77" s="30" t="s">
        <v>3597</v>
      </c>
      <c r="AA77" s="30" t="s">
        <v>115</v>
      </c>
      <c r="AC77" s="39">
        <v>400.0</v>
      </c>
      <c r="AE77" s="39">
        <v>1.0</v>
      </c>
    </row>
    <row r="78">
      <c r="A78" s="20" t="s">
        <v>3598</v>
      </c>
      <c r="B78" s="39" t="s">
        <v>1225</v>
      </c>
      <c r="C78" s="39" t="s">
        <v>3595</v>
      </c>
      <c r="D78" s="39" t="s">
        <v>673</v>
      </c>
      <c r="E78" s="39" t="s">
        <v>3439</v>
      </c>
      <c r="F78" s="39" t="s">
        <v>397</v>
      </c>
      <c r="G78" s="39" t="s">
        <v>3599</v>
      </c>
      <c r="H78" s="39" t="s">
        <v>3599</v>
      </c>
      <c r="I78" s="40">
        <v>10.315000000000005</v>
      </c>
      <c r="L78" s="2" t="s">
        <v>66</v>
      </c>
      <c r="N78" s="39" t="s">
        <v>67</v>
      </c>
      <c r="O78" s="39" t="s">
        <v>68</v>
      </c>
      <c r="Q78" s="39">
        <v>0.0</v>
      </c>
      <c r="R78" s="39">
        <v>0.0</v>
      </c>
      <c r="S78" s="39">
        <v>1.0</v>
      </c>
      <c r="T78" s="39">
        <v>0.0</v>
      </c>
      <c r="U78" s="39">
        <v>0.0</v>
      </c>
      <c r="V78" s="39">
        <v>1.0</v>
      </c>
      <c r="W78" s="39">
        <v>0.0</v>
      </c>
      <c r="X78" s="39">
        <v>0.0</v>
      </c>
      <c r="Y78" s="39">
        <v>1.0</v>
      </c>
      <c r="Z78" s="30" t="s">
        <v>920</v>
      </c>
      <c r="AA78" s="30" t="s">
        <v>97</v>
      </c>
      <c r="AC78" s="39">
        <v>400.0</v>
      </c>
      <c r="AE78" s="39">
        <v>1.0</v>
      </c>
    </row>
    <row r="79">
      <c r="A79" s="20" t="s">
        <v>3600</v>
      </c>
      <c r="B79" s="39" t="s">
        <v>1225</v>
      </c>
      <c r="C79" s="39" t="s">
        <v>3595</v>
      </c>
      <c r="D79" s="39" t="s">
        <v>673</v>
      </c>
      <c r="E79" s="39" t="s">
        <v>3439</v>
      </c>
      <c r="F79" s="39" t="s">
        <v>397</v>
      </c>
      <c r="G79" s="39" t="s">
        <v>3601</v>
      </c>
      <c r="H79" s="39" t="s">
        <v>3601</v>
      </c>
      <c r="I79" s="40">
        <v>9.893000000000004</v>
      </c>
      <c r="L79" s="2" t="s">
        <v>66</v>
      </c>
      <c r="N79" s="39" t="s">
        <v>67</v>
      </c>
      <c r="O79" s="39" t="s">
        <v>81</v>
      </c>
      <c r="Q79" s="39">
        <v>0.0</v>
      </c>
      <c r="R79" s="39">
        <v>0.0</v>
      </c>
      <c r="S79" s="39">
        <v>1.0</v>
      </c>
      <c r="T79" s="39">
        <v>0.0</v>
      </c>
      <c r="U79" s="39">
        <v>1.0</v>
      </c>
      <c r="V79" s="39">
        <v>0.0</v>
      </c>
      <c r="W79" s="39">
        <v>0.0</v>
      </c>
      <c r="X79" s="39">
        <v>0.0</v>
      </c>
      <c r="Y79" s="39">
        <v>0.0</v>
      </c>
      <c r="AC79" s="39">
        <v>300.0</v>
      </c>
      <c r="AE79" s="39">
        <v>1.0</v>
      </c>
    </row>
    <row r="80">
      <c r="A80" s="20" t="s">
        <v>3602</v>
      </c>
      <c r="B80" s="39" t="s">
        <v>1225</v>
      </c>
      <c r="C80" s="39" t="s">
        <v>3595</v>
      </c>
      <c r="D80" s="39" t="s">
        <v>673</v>
      </c>
      <c r="E80" s="39" t="s">
        <v>3439</v>
      </c>
      <c r="F80" s="39" t="s">
        <v>397</v>
      </c>
      <c r="G80" s="39" t="s">
        <v>3603</v>
      </c>
      <c r="I80" s="40">
        <v>9.145000000000003</v>
      </c>
      <c r="L80" s="2" t="s">
        <v>66</v>
      </c>
      <c r="N80" s="39" t="s">
        <v>67</v>
      </c>
      <c r="O80" s="39" t="s">
        <v>68</v>
      </c>
      <c r="Q80" s="39">
        <v>0.0</v>
      </c>
      <c r="R80" s="39">
        <v>0.0</v>
      </c>
      <c r="S80" s="39">
        <v>1.0</v>
      </c>
      <c r="T80" s="39">
        <v>0.0</v>
      </c>
      <c r="U80" s="39">
        <v>0.0</v>
      </c>
      <c r="V80" s="39">
        <v>0.0</v>
      </c>
      <c r="W80" s="39">
        <v>1.0</v>
      </c>
      <c r="X80" s="39">
        <v>0.0</v>
      </c>
      <c r="Y80" s="39">
        <v>0.0</v>
      </c>
      <c r="AC80" s="39">
        <v>400.0</v>
      </c>
      <c r="AE80" s="39">
        <v>1.0</v>
      </c>
    </row>
    <row r="81">
      <c r="A81" s="20" t="s">
        <v>3604</v>
      </c>
      <c r="D81" s="39" t="s">
        <v>673</v>
      </c>
      <c r="E81" s="39" t="s">
        <v>3439</v>
      </c>
      <c r="F81" s="39" t="s">
        <v>397</v>
      </c>
      <c r="G81" s="39" t="s">
        <v>3605</v>
      </c>
      <c r="H81" s="39" t="s">
        <v>3605</v>
      </c>
      <c r="I81" s="40">
        <v>8.598000000000003</v>
      </c>
      <c r="L81" s="40" t="s">
        <v>102</v>
      </c>
      <c r="N81" s="39" t="s">
        <v>67</v>
      </c>
      <c r="O81" s="39" t="s">
        <v>67</v>
      </c>
      <c r="Q81" s="39">
        <v>0.0</v>
      </c>
      <c r="R81" s="39">
        <v>0.0</v>
      </c>
      <c r="S81" s="39">
        <v>1.0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AC81" s="39">
        <v>400.0</v>
      </c>
      <c r="AE81" s="39">
        <v>1.0</v>
      </c>
    </row>
    <row r="82">
      <c r="A82" s="20" t="s">
        <v>3606</v>
      </c>
      <c r="D82" s="39" t="s">
        <v>673</v>
      </c>
      <c r="E82" s="39" t="s">
        <v>3439</v>
      </c>
      <c r="F82" s="39" t="s">
        <v>397</v>
      </c>
      <c r="G82" s="39" t="s">
        <v>3607</v>
      </c>
      <c r="H82" s="39" t="s">
        <v>3607</v>
      </c>
      <c r="I82" s="40">
        <v>8.200000000000003</v>
      </c>
      <c r="L82" s="40" t="s">
        <v>102</v>
      </c>
      <c r="N82" s="39" t="s">
        <v>67</v>
      </c>
      <c r="O82" s="39" t="s">
        <v>68</v>
      </c>
      <c r="Q82" s="39">
        <v>0.0</v>
      </c>
      <c r="R82" s="39">
        <v>0.0</v>
      </c>
      <c r="S82" s="39">
        <v>1.0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AC82" s="39">
        <v>300.0</v>
      </c>
      <c r="AE82" s="39">
        <v>1.0</v>
      </c>
    </row>
    <row r="83">
      <c r="A83" s="20" t="s">
        <v>3608</v>
      </c>
      <c r="D83" s="39" t="s">
        <v>673</v>
      </c>
      <c r="E83" s="39" t="s">
        <v>3439</v>
      </c>
      <c r="F83" s="39" t="s">
        <v>397</v>
      </c>
      <c r="G83" s="39" t="s">
        <v>3609</v>
      </c>
      <c r="H83" s="39" t="s">
        <v>3609</v>
      </c>
      <c r="I83" s="40">
        <v>7.715000000000003</v>
      </c>
      <c r="L83" s="40" t="s">
        <v>102</v>
      </c>
      <c r="N83" s="39" t="s">
        <v>67</v>
      </c>
      <c r="O83" s="39" t="s">
        <v>68</v>
      </c>
      <c r="Q83" s="39">
        <v>0.0</v>
      </c>
      <c r="R83" s="39">
        <v>0.0</v>
      </c>
      <c r="S83" s="39">
        <v>1.0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AC83" s="39">
        <v>500.0</v>
      </c>
      <c r="AE83" s="39">
        <v>1.0</v>
      </c>
    </row>
    <row r="84">
      <c r="A84" s="20" t="s">
        <v>3610</v>
      </c>
      <c r="D84" s="39" t="s">
        <v>673</v>
      </c>
      <c r="E84" s="39" t="s">
        <v>3439</v>
      </c>
      <c r="F84" s="39" t="s">
        <v>397</v>
      </c>
      <c r="G84" s="39" t="s">
        <v>3611</v>
      </c>
      <c r="I84" s="40">
        <v>7.137000000000004</v>
      </c>
      <c r="L84" s="40" t="s">
        <v>102</v>
      </c>
      <c r="N84" s="39" t="s">
        <v>67</v>
      </c>
      <c r="O84" s="39" t="s">
        <v>68</v>
      </c>
      <c r="Q84" s="39">
        <v>0.0</v>
      </c>
      <c r="R84" s="39">
        <v>0.0</v>
      </c>
      <c r="S84" s="39">
        <v>1.0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AC84" s="39">
        <v>400.0</v>
      </c>
      <c r="AE84" s="39">
        <v>1.0</v>
      </c>
    </row>
    <row r="85">
      <c r="A85" s="20" t="s">
        <v>3612</v>
      </c>
      <c r="D85" s="39" t="s">
        <v>673</v>
      </c>
      <c r="E85" s="39" t="s">
        <v>3439</v>
      </c>
      <c r="F85" s="39" t="s">
        <v>397</v>
      </c>
      <c r="G85" s="39" t="s">
        <v>3613</v>
      </c>
      <c r="H85" s="39" t="s">
        <v>3613</v>
      </c>
      <c r="I85" s="40">
        <v>6.531000000000002</v>
      </c>
      <c r="L85" s="40" t="s">
        <v>102</v>
      </c>
      <c r="N85" s="39" t="s">
        <v>67</v>
      </c>
      <c r="O85" s="39" t="s">
        <v>81</v>
      </c>
      <c r="Q85" s="39">
        <v>0.0</v>
      </c>
      <c r="R85" s="39">
        <v>0.0</v>
      </c>
      <c r="S85" s="39">
        <v>1.0</v>
      </c>
      <c r="T85" s="39">
        <v>0.0</v>
      </c>
      <c r="U85" s="39">
        <v>0.0</v>
      </c>
      <c r="V85" s="39">
        <v>0.0</v>
      </c>
      <c r="W85" s="39">
        <v>0.0</v>
      </c>
      <c r="X85" s="39">
        <v>0.0</v>
      </c>
      <c r="Y85" s="39">
        <v>0.0</v>
      </c>
      <c r="AC85" s="39">
        <v>600.0</v>
      </c>
      <c r="AE85" s="39">
        <v>1.0</v>
      </c>
    </row>
    <row r="86">
      <c r="A86" s="20" t="s">
        <v>3614</v>
      </c>
      <c r="D86" s="39" t="s">
        <v>673</v>
      </c>
      <c r="E86" s="39" t="s">
        <v>3439</v>
      </c>
      <c r="F86" s="39" t="s">
        <v>397</v>
      </c>
      <c r="G86" s="39" t="s">
        <v>3615</v>
      </c>
      <c r="H86" s="39" t="s">
        <v>3615</v>
      </c>
      <c r="I86" s="40">
        <v>6.136000000000003</v>
      </c>
      <c r="L86" s="40" t="s">
        <v>102</v>
      </c>
      <c r="N86" s="39" t="s">
        <v>67</v>
      </c>
      <c r="O86" s="39" t="s">
        <v>68</v>
      </c>
      <c r="Q86" s="39">
        <v>0.0</v>
      </c>
      <c r="R86" s="39">
        <v>0.0</v>
      </c>
      <c r="S86" s="39">
        <v>1.0</v>
      </c>
      <c r="T86" s="39">
        <v>0.0</v>
      </c>
      <c r="U86" s="39">
        <v>0.0</v>
      </c>
      <c r="V86" s="39">
        <v>0.0</v>
      </c>
      <c r="W86" s="39">
        <v>0.0</v>
      </c>
      <c r="X86" s="39">
        <v>0.0</v>
      </c>
      <c r="Y86" s="39">
        <v>0.0</v>
      </c>
      <c r="AC86" s="39">
        <v>500.0</v>
      </c>
      <c r="AE86" s="39">
        <v>1.0</v>
      </c>
    </row>
    <row r="87">
      <c r="A87" s="20" t="s">
        <v>3616</v>
      </c>
      <c r="D87" s="39" t="s">
        <v>673</v>
      </c>
      <c r="E87" s="39" t="s">
        <v>3439</v>
      </c>
      <c r="F87" s="39" t="s">
        <v>397</v>
      </c>
      <c r="G87" s="39" t="s">
        <v>3617</v>
      </c>
      <c r="H87" s="39" t="s">
        <v>3617</v>
      </c>
      <c r="I87" s="40">
        <v>5.567000000000004</v>
      </c>
      <c r="L87" s="40" t="s">
        <v>102</v>
      </c>
      <c r="N87" s="39" t="s">
        <v>67</v>
      </c>
      <c r="O87" s="39" t="s">
        <v>68</v>
      </c>
      <c r="Q87" s="39">
        <v>0.0</v>
      </c>
      <c r="R87" s="39">
        <v>0.0</v>
      </c>
      <c r="S87" s="39">
        <v>1.0</v>
      </c>
      <c r="T87" s="39">
        <v>0.0</v>
      </c>
      <c r="U87" s="39">
        <v>0.0</v>
      </c>
      <c r="V87" s="39">
        <v>0.0</v>
      </c>
      <c r="W87" s="39">
        <v>0.0</v>
      </c>
      <c r="X87" s="39">
        <v>0.0</v>
      </c>
      <c r="Y87" s="39">
        <v>0.0</v>
      </c>
      <c r="AC87" s="39">
        <v>800.0</v>
      </c>
      <c r="AE87" s="39">
        <v>1.0</v>
      </c>
    </row>
    <row r="88">
      <c r="A88" s="20" t="s">
        <v>3618</v>
      </c>
      <c r="D88" s="39" t="s">
        <v>673</v>
      </c>
      <c r="E88" s="39" t="s">
        <v>3439</v>
      </c>
      <c r="F88" s="39" t="s">
        <v>397</v>
      </c>
      <c r="G88" s="39" t="s">
        <v>3619</v>
      </c>
      <c r="I88" s="40">
        <v>5.185000000000002</v>
      </c>
      <c r="L88" s="40" t="s">
        <v>102</v>
      </c>
      <c r="N88" s="39" t="s">
        <v>67</v>
      </c>
      <c r="O88" s="39" t="s">
        <v>67</v>
      </c>
      <c r="Q88" s="39">
        <v>0.0</v>
      </c>
      <c r="R88" s="39">
        <v>0.0</v>
      </c>
      <c r="S88" s="39">
        <v>1.0</v>
      </c>
      <c r="T88" s="39">
        <v>0.0</v>
      </c>
      <c r="U88" s="39">
        <v>0.0</v>
      </c>
      <c r="V88" s="39">
        <v>0.0</v>
      </c>
      <c r="W88" s="39">
        <v>0.0</v>
      </c>
      <c r="X88" s="39">
        <v>0.0</v>
      </c>
      <c r="Y88" s="39">
        <v>0.0</v>
      </c>
      <c r="AC88" s="39">
        <v>150.0</v>
      </c>
      <c r="AE88" s="39">
        <v>1.0</v>
      </c>
    </row>
    <row r="89">
      <c r="A89" s="20" t="s">
        <v>3620</v>
      </c>
      <c r="D89" s="39" t="s">
        <v>673</v>
      </c>
      <c r="E89" s="39" t="s">
        <v>3439</v>
      </c>
      <c r="F89" s="39" t="s">
        <v>397</v>
      </c>
      <c r="G89" s="39" t="s">
        <v>3621</v>
      </c>
      <c r="H89" s="39" t="s">
        <v>3621</v>
      </c>
      <c r="I89" s="40">
        <v>4.767000000000003</v>
      </c>
      <c r="L89" s="40" t="s">
        <v>102</v>
      </c>
      <c r="N89" s="39" t="s">
        <v>67</v>
      </c>
      <c r="O89" s="39" t="s">
        <v>68</v>
      </c>
      <c r="Q89" s="39">
        <v>0.0</v>
      </c>
      <c r="R89" s="39">
        <v>0.0</v>
      </c>
      <c r="S89" s="39">
        <v>1.0</v>
      </c>
      <c r="T89" s="39">
        <v>0.0</v>
      </c>
      <c r="U89" s="39">
        <v>0.0</v>
      </c>
      <c r="V89" s="39">
        <v>0.0</v>
      </c>
      <c r="W89" s="39">
        <v>0.0</v>
      </c>
      <c r="X89" s="39">
        <v>0.0</v>
      </c>
      <c r="Y89" s="39">
        <v>0.0</v>
      </c>
      <c r="AC89" s="39">
        <v>350.0</v>
      </c>
      <c r="AE89" s="39">
        <v>1.0</v>
      </c>
    </row>
    <row r="90">
      <c r="A90" s="20" t="s">
        <v>3622</v>
      </c>
      <c r="D90" s="39" t="s">
        <v>673</v>
      </c>
      <c r="E90" s="39" t="s">
        <v>3439</v>
      </c>
      <c r="F90" s="39" t="s">
        <v>397</v>
      </c>
      <c r="G90" s="39" t="s">
        <v>3623</v>
      </c>
      <c r="I90" s="40">
        <v>4.214000000000002</v>
      </c>
      <c r="L90" s="40" t="s">
        <v>102</v>
      </c>
      <c r="N90" s="39" t="s">
        <v>67</v>
      </c>
      <c r="O90" s="39" t="s">
        <v>68</v>
      </c>
      <c r="Q90" s="39">
        <v>0.0</v>
      </c>
      <c r="R90" s="39">
        <v>0.0</v>
      </c>
      <c r="S90" s="39">
        <v>1.0</v>
      </c>
      <c r="T90" s="39">
        <v>0.0</v>
      </c>
      <c r="U90" s="39">
        <v>0.0</v>
      </c>
      <c r="V90" s="39">
        <v>0.0</v>
      </c>
      <c r="W90" s="39">
        <v>0.0</v>
      </c>
      <c r="X90" s="39">
        <v>0.0</v>
      </c>
      <c r="Y90" s="39">
        <v>0.0</v>
      </c>
      <c r="AC90" s="39">
        <v>700.0</v>
      </c>
      <c r="AE90" s="39">
        <v>1.0</v>
      </c>
    </row>
    <row r="91">
      <c r="A91" s="20" t="s">
        <v>3624</v>
      </c>
      <c r="D91" s="39" t="s">
        <v>673</v>
      </c>
      <c r="E91" s="39" t="s">
        <v>3439</v>
      </c>
      <c r="F91" s="39" t="s">
        <v>397</v>
      </c>
      <c r="G91" s="39" t="s">
        <v>3625</v>
      </c>
      <c r="H91" s="39" t="s">
        <v>3625</v>
      </c>
      <c r="I91" s="40">
        <v>3.7250000000000014</v>
      </c>
      <c r="L91" s="40" t="s">
        <v>102</v>
      </c>
      <c r="N91" s="39" t="s">
        <v>67</v>
      </c>
      <c r="O91" s="39" t="s">
        <v>81</v>
      </c>
      <c r="Q91" s="39">
        <v>0.0</v>
      </c>
      <c r="R91" s="39">
        <v>0.0</v>
      </c>
      <c r="S91" s="39">
        <v>1.0</v>
      </c>
      <c r="T91" s="39">
        <v>0.0</v>
      </c>
      <c r="U91" s="39">
        <v>0.0</v>
      </c>
      <c r="V91" s="39">
        <v>0.0</v>
      </c>
      <c r="W91" s="39">
        <v>0.0</v>
      </c>
      <c r="X91" s="39">
        <v>0.0</v>
      </c>
      <c r="Y91" s="39">
        <v>0.0</v>
      </c>
      <c r="AC91" s="39">
        <v>300.0</v>
      </c>
      <c r="AE91" s="39">
        <v>1.0</v>
      </c>
    </row>
    <row r="92">
      <c r="A92" s="20" t="s">
        <v>3626</v>
      </c>
      <c r="D92" s="39" t="s">
        <v>673</v>
      </c>
      <c r="E92" s="39" t="s">
        <v>3439</v>
      </c>
      <c r="F92" s="39" t="s">
        <v>397</v>
      </c>
      <c r="G92" s="39" t="s">
        <v>3627</v>
      </c>
      <c r="H92" s="39" t="s">
        <v>3627</v>
      </c>
      <c r="I92" s="40">
        <v>3.3100000000000023</v>
      </c>
      <c r="L92" s="40" t="s">
        <v>102</v>
      </c>
      <c r="N92" s="39" t="s">
        <v>81</v>
      </c>
      <c r="O92" s="39" t="s">
        <v>68</v>
      </c>
      <c r="Q92" s="39">
        <v>1.0</v>
      </c>
      <c r="R92" s="39">
        <v>0.0</v>
      </c>
      <c r="S92" s="39">
        <v>0.0</v>
      </c>
      <c r="T92" s="39">
        <v>0.0</v>
      </c>
      <c r="U92" s="39">
        <v>0.0</v>
      </c>
      <c r="V92" s="39">
        <v>0.0</v>
      </c>
      <c r="W92" s="39">
        <v>0.0</v>
      </c>
      <c r="X92" s="39">
        <v>0.0</v>
      </c>
      <c r="Y92" s="39">
        <v>0.0</v>
      </c>
      <c r="AC92" s="39">
        <v>300.0</v>
      </c>
      <c r="AE92" s="39">
        <v>1.0</v>
      </c>
    </row>
    <row r="93">
      <c r="A93" s="20" t="s">
        <v>3628</v>
      </c>
      <c r="D93" s="39" t="s">
        <v>673</v>
      </c>
      <c r="E93" s="39" t="s">
        <v>3439</v>
      </c>
      <c r="F93" s="39" t="s">
        <v>397</v>
      </c>
      <c r="G93" s="39" t="s">
        <v>3629</v>
      </c>
      <c r="I93" s="40">
        <v>2.8840000000000003</v>
      </c>
      <c r="L93" s="40" t="s">
        <v>102</v>
      </c>
      <c r="N93" s="39" t="s">
        <v>67</v>
      </c>
      <c r="O93" s="39" t="s">
        <v>81</v>
      </c>
      <c r="Q93" s="39">
        <v>0.0</v>
      </c>
      <c r="R93" s="39">
        <v>0.0</v>
      </c>
      <c r="S93" s="39">
        <v>1.0</v>
      </c>
      <c r="T93" s="39">
        <v>0.0</v>
      </c>
      <c r="U93" s="39">
        <v>0.0</v>
      </c>
      <c r="V93" s="39">
        <v>0.0</v>
      </c>
      <c r="W93" s="39">
        <v>0.0</v>
      </c>
      <c r="X93" s="39">
        <v>0.0</v>
      </c>
      <c r="Y93" s="39">
        <v>0.0</v>
      </c>
      <c r="AC93" s="39">
        <v>180.0</v>
      </c>
      <c r="AE93" s="39">
        <v>1.0</v>
      </c>
    </row>
    <row r="94">
      <c r="A94" s="20" t="s">
        <v>3630</v>
      </c>
      <c r="D94" s="39" t="s">
        <v>673</v>
      </c>
      <c r="E94" s="39" t="s">
        <v>3439</v>
      </c>
      <c r="F94" s="39" t="s">
        <v>397</v>
      </c>
      <c r="G94" s="39" t="s">
        <v>3631</v>
      </c>
      <c r="H94" s="39" t="s">
        <v>3631</v>
      </c>
      <c r="I94" s="40">
        <v>2.440000000000005</v>
      </c>
      <c r="L94" s="40" t="s">
        <v>102</v>
      </c>
      <c r="N94" s="39" t="s">
        <v>67</v>
      </c>
      <c r="O94" s="39" t="s">
        <v>68</v>
      </c>
      <c r="Q94" s="39">
        <v>0.0</v>
      </c>
      <c r="R94" s="39">
        <v>0.0</v>
      </c>
      <c r="S94" s="39">
        <v>1.0</v>
      </c>
      <c r="T94" s="39">
        <v>0.0</v>
      </c>
      <c r="U94" s="39">
        <v>0.0</v>
      </c>
      <c r="V94" s="39">
        <v>0.0</v>
      </c>
      <c r="W94" s="39">
        <v>0.0</v>
      </c>
      <c r="X94" s="39">
        <v>0.0</v>
      </c>
      <c r="Y94" s="39">
        <v>0.0</v>
      </c>
      <c r="AC94" s="39">
        <v>400.0</v>
      </c>
      <c r="AE94" s="39">
        <v>1.0</v>
      </c>
    </row>
    <row r="95">
      <c r="A95" s="20" t="s">
        <v>3632</v>
      </c>
      <c r="D95" s="39" t="s">
        <v>673</v>
      </c>
      <c r="E95" s="39" t="s">
        <v>3439</v>
      </c>
      <c r="F95" s="39" t="s">
        <v>397</v>
      </c>
      <c r="G95" s="39" t="s">
        <v>3633</v>
      </c>
      <c r="I95" s="40">
        <v>2.102000000000004</v>
      </c>
      <c r="L95" s="40" t="s">
        <v>102</v>
      </c>
      <c r="N95" s="39" t="s">
        <v>67</v>
      </c>
      <c r="O95" s="39" t="s">
        <v>67</v>
      </c>
      <c r="Q95" s="39">
        <v>0.0</v>
      </c>
      <c r="R95" s="39">
        <v>0.0</v>
      </c>
      <c r="S95" s="39">
        <v>1.0</v>
      </c>
      <c r="T95" s="39">
        <v>0.0</v>
      </c>
      <c r="U95" s="39">
        <v>0.0</v>
      </c>
      <c r="V95" s="39">
        <v>0.0</v>
      </c>
      <c r="W95" s="39">
        <v>0.0</v>
      </c>
      <c r="X95" s="39">
        <v>0.0</v>
      </c>
      <c r="Y95" s="39">
        <v>0.0</v>
      </c>
      <c r="AC95" s="39">
        <v>100.0</v>
      </c>
      <c r="AE95" s="39">
        <v>1.0</v>
      </c>
    </row>
    <row r="96">
      <c r="A96" s="20" t="s">
        <v>3634</v>
      </c>
      <c r="D96" s="39" t="s">
        <v>673</v>
      </c>
      <c r="E96" s="39" t="s">
        <v>3439</v>
      </c>
      <c r="F96" s="39" t="s">
        <v>397</v>
      </c>
      <c r="G96" s="39" t="s">
        <v>3635</v>
      </c>
      <c r="H96" s="39" t="s">
        <v>3635</v>
      </c>
      <c r="I96" s="40">
        <v>1.7650000000000006</v>
      </c>
      <c r="L96" s="40" t="s">
        <v>102</v>
      </c>
      <c r="N96" s="39" t="s">
        <v>67</v>
      </c>
      <c r="O96" s="39" t="s">
        <v>68</v>
      </c>
      <c r="Q96" s="39">
        <v>0.0</v>
      </c>
      <c r="R96" s="39">
        <v>0.0</v>
      </c>
      <c r="S96" s="39">
        <v>1.0</v>
      </c>
      <c r="T96" s="39">
        <v>0.0</v>
      </c>
      <c r="U96" s="39">
        <v>0.0</v>
      </c>
      <c r="V96" s="39">
        <v>0.0</v>
      </c>
      <c r="W96" s="39">
        <v>0.0</v>
      </c>
      <c r="X96" s="39">
        <v>0.0</v>
      </c>
      <c r="Y96" s="39">
        <v>0.0</v>
      </c>
      <c r="AC96" s="39">
        <v>400.0</v>
      </c>
      <c r="AE96" s="39">
        <v>1.0</v>
      </c>
    </row>
    <row r="97">
      <c r="A97" s="20" t="s">
        <v>3636</v>
      </c>
      <c r="D97" s="39" t="s">
        <v>673</v>
      </c>
      <c r="E97" s="39" t="s">
        <v>3439</v>
      </c>
      <c r="F97" s="39" t="s">
        <v>397</v>
      </c>
      <c r="G97" s="39" t="s">
        <v>3637</v>
      </c>
      <c r="H97" s="39" t="s">
        <v>3637</v>
      </c>
      <c r="I97" s="40">
        <v>1.368000000000002</v>
      </c>
      <c r="L97" s="40" t="s">
        <v>102</v>
      </c>
      <c r="N97" s="39" t="s">
        <v>81</v>
      </c>
      <c r="O97" s="39" t="s">
        <v>67</v>
      </c>
      <c r="Q97" s="39">
        <v>1.0</v>
      </c>
      <c r="R97" s="39">
        <v>0.0</v>
      </c>
      <c r="S97" s="39">
        <v>0.0</v>
      </c>
      <c r="T97" s="39">
        <v>0.0</v>
      </c>
      <c r="U97" s="39">
        <v>0.0</v>
      </c>
      <c r="V97" s="39">
        <v>0.0</v>
      </c>
      <c r="W97" s="39">
        <v>0.0</v>
      </c>
      <c r="X97" s="39">
        <v>0.0</v>
      </c>
      <c r="Y97" s="39">
        <v>0.0</v>
      </c>
      <c r="AC97" s="39">
        <v>400.0</v>
      </c>
      <c r="AE97" s="39">
        <v>1.0</v>
      </c>
    </row>
    <row r="98">
      <c r="A98" s="20" t="s">
        <v>3638</v>
      </c>
      <c r="B98" s="39" t="s">
        <v>62</v>
      </c>
      <c r="C98" s="39" t="s">
        <v>1178</v>
      </c>
      <c r="D98" s="39" t="s">
        <v>673</v>
      </c>
      <c r="E98" s="39" t="s">
        <v>3439</v>
      </c>
      <c r="F98" s="39" t="s">
        <v>397</v>
      </c>
      <c r="G98" s="39" t="s">
        <v>3639</v>
      </c>
      <c r="I98" s="40">
        <v>0.9950000000000045</v>
      </c>
      <c r="L98" s="2" t="s">
        <v>66</v>
      </c>
      <c r="N98" s="39" t="s">
        <v>81</v>
      </c>
      <c r="O98" s="39" t="s">
        <v>68</v>
      </c>
      <c r="Q98" s="39">
        <v>1.0</v>
      </c>
      <c r="R98" s="39">
        <v>0.0</v>
      </c>
      <c r="S98" s="39">
        <v>0.0</v>
      </c>
      <c r="T98" s="39">
        <v>0.0</v>
      </c>
      <c r="U98" s="39">
        <v>0.0</v>
      </c>
      <c r="V98" s="39">
        <v>0.0</v>
      </c>
      <c r="W98" s="39">
        <v>0.0</v>
      </c>
      <c r="X98" s="39">
        <v>0.0</v>
      </c>
      <c r="Y98" s="39">
        <v>0.0</v>
      </c>
      <c r="AC98" s="39">
        <v>300.0</v>
      </c>
      <c r="AE98" s="39">
        <v>1.0</v>
      </c>
    </row>
    <row r="99">
      <c r="A99" s="20" t="s">
        <v>3640</v>
      </c>
      <c r="B99" s="39" t="s">
        <v>62</v>
      </c>
      <c r="C99" s="39" t="s">
        <v>1178</v>
      </c>
      <c r="D99" s="39" t="s">
        <v>673</v>
      </c>
      <c r="E99" s="39" t="s">
        <v>3439</v>
      </c>
      <c r="F99" s="39" t="s">
        <v>397</v>
      </c>
      <c r="G99" s="39" t="s">
        <v>3641</v>
      </c>
      <c r="I99" s="40">
        <v>0.6550000000000011</v>
      </c>
      <c r="L99" s="2" t="s">
        <v>66</v>
      </c>
      <c r="N99" s="39" t="s">
        <v>67</v>
      </c>
      <c r="O99" s="39" t="s">
        <v>81</v>
      </c>
      <c r="Q99" s="39">
        <v>0.0</v>
      </c>
      <c r="R99" s="39">
        <v>0.0</v>
      </c>
      <c r="S99" s="39">
        <v>1.0</v>
      </c>
      <c r="T99" s="39">
        <v>0.0</v>
      </c>
      <c r="U99" s="39">
        <v>0.0</v>
      </c>
      <c r="V99" s="39">
        <v>1.0</v>
      </c>
      <c r="W99" s="39">
        <v>0.0</v>
      </c>
      <c r="X99" s="39">
        <v>3.0</v>
      </c>
      <c r="Y99" s="39">
        <v>0.0</v>
      </c>
      <c r="Z99" s="30" t="s">
        <v>3642</v>
      </c>
      <c r="AA99" s="30" t="s">
        <v>83</v>
      </c>
      <c r="AC99" s="39">
        <v>300.0</v>
      </c>
      <c r="AE99" s="39">
        <v>1.0</v>
      </c>
    </row>
    <row r="100">
      <c r="A100" s="20" t="s">
        <v>3643</v>
      </c>
      <c r="B100" s="39" t="s">
        <v>62</v>
      </c>
      <c r="C100" s="39" t="s">
        <v>1178</v>
      </c>
      <c r="D100" s="39" t="s">
        <v>673</v>
      </c>
      <c r="E100" s="39" t="s">
        <v>3439</v>
      </c>
      <c r="F100" s="39" t="s">
        <v>397</v>
      </c>
      <c r="G100" s="39" t="s">
        <v>3644</v>
      </c>
      <c r="I100" s="40">
        <v>0.3570000000000064</v>
      </c>
      <c r="L100" s="2" t="s">
        <v>66</v>
      </c>
      <c r="N100" s="39" t="s">
        <v>119</v>
      </c>
      <c r="O100" s="39" t="s">
        <v>68</v>
      </c>
      <c r="Q100" s="39">
        <v>0.0</v>
      </c>
      <c r="R100" s="39">
        <v>1.0</v>
      </c>
      <c r="S100" s="39">
        <v>0.0</v>
      </c>
      <c r="T100" s="39">
        <v>0.0</v>
      </c>
      <c r="U100" s="39">
        <v>0.0</v>
      </c>
      <c r="V100" s="39">
        <v>0.0</v>
      </c>
      <c r="W100" s="39">
        <v>0.0</v>
      </c>
      <c r="X100" s="39">
        <v>0.0</v>
      </c>
      <c r="Y100" s="39">
        <v>0.0</v>
      </c>
      <c r="AC100" s="39">
        <v>250.0</v>
      </c>
      <c r="AE100" s="39">
        <v>1.0</v>
      </c>
    </row>
    <row r="101">
      <c r="A101" s="20" t="s">
        <v>3645</v>
      </c>
      <c r="B101" s="39" t="s">
        <v>62</v>
      </c>
      <c r="C101" s="39" t="s">
        <v>1178</v>
      </c>
      <c r="D101" s="39" t="s">
        <v>673</v>
      </c>
      <c r="E101" s="39" t="s">
        <v>3439</v>
      </c>
      <c r="F101" s="39" t="s">
        <v>397</v>
      </c>
      <c r="G101" s="39" t="s">
        <v>3646</v>
      </c>
      <c r="I101" s="40">
        <v>0.08400000000000318</v>
      </c>
      <c r="L101" s="2" t="s">
        <v>66</v>
      </c>
      <c r="N101" s="39" t="s">
        <v>67</v>
      </c>
      <c r="O101" s="39" t="s">
        <v>67</v>
      </c>
      <c r="Q101" s="39">
        <v>0.0</v>
      </c>
      <c r="R101" s="39">
        <v>0.0</v>
      </c>
      <c r="S101" s="39">
        <v>1.0</v>
      </c>
      <c r="T101" s="39">
        <v>0.0</v>
      </c>
      <c r="U101" s="39">
        <v>0.0</v>
      </c>
      <c r="V101" s="39">
        <v>1.0</v>
      </c>
      <c r="W101" s="39">
        <v>0.0</v>
      </c>
      <c r="X101" s="39">
        <v>0.0</v>
      </c>
      <c r="Y101" s="39">
        <v>1.0</v>
      </c>
      <c r="Z101" s="30" t="s">
        <v>3557</v>
      </c>
      <c r="AA101" s="30" t="s">
        <v>97</v>
      </c>
      <c r="AC101" s="39">
        <v>600.0</v>
      </c>
      <c r="AE101" s="39">
        <v>1.0</v>
      </c>
    </row>
    <row r="102">
      <c r="A102" s="20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8.25"/>
  </cols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3647</v>
      </c>
      <c r="B2" s="39" t="s">
        <v>11</v>
      </c>
      <c r="C2" s="39" t="s">
        <v>397</v>
      </c>
      <c r="D2" s="56" t="s">
        <v>1477</v>
      </c>
      <c r="E2" s="56" t="s">
        <v>3648</v>
      </c>
      <c r="F2" s="39">
        <v>42.992</v>
      </c>
      <c r="G2" s="39">
        <v>41.842</v>
      </c>
      <c r="H2" s="66">
        <v>90.0</v>
      </c>
      <c r="I2" s="45">
        <v>19.02687</v>
      </c>
      <c r="J2" s="45">
        <v>73.07037</v>
      </c>
      <c r="K2" s="45">
        <v>19.02655</v>
      </c>
      <c r="L2" s="45">
        <v>73.06058</v>
      </c>
      <c r="M2" s="66" t="s">
        <v>3649</v>
      </c>
      <c r="O2" s="39" t="s">
        <v>3471</v>
      </c>
    </row>
    <row r="3">
      <c r="A3" s="39" t="s">
        <v>3647</v>
      </c>
      <c r="B3" s="39" t="s">
        <v>11</v>
      </c>
      <c r="C3" s="39" t="s">
        <v>397</v>
      </c>
      <c r="D3" s="56" t="s">
        <v>3650</v>
      </c>
      <c r="E3" s="56" t="s">
        <v>3651</v>
      </c>
      <c r="F3" s="39">
        <v>40.554</v>
      </c>
      <c r="G3" s="39">
        <v>39.554</v>
      </c>
      <c r="H3" s="66">
        <v>80.0</v>
      </c>
      <c r="I3" s="45">
        <v>19.02239</v>
      </c>
      <c r="J3" s="45">
        <v>73.05251</v>
      </c>
      <c r="K3" s="45">
        <v>19.0217</v>
      </c>
      <c r="L3" s="45">
        <v>73.04323</v>
      </c>
      <c r="M3" s="66" t="s">
        <v>3652</v>
      </c>
      <c r="O3" s="39" t="s">
        <v>3481</v>
      </c>
    </row>
    <row r="4">
      <c r="A4" s="39" t="s">
        <v>3647</v>
      </c>
      <c r="B4" s="39" t="s">
        <v>11</v>
      </c>
      <c r="C4" s="39" t="s">
        <v>397</v>
      </c>
      <c r="D4" s="56" t="s">
        <v>3653</v>
      </c>
      <c r="E4" s="56" t="s">
        <v>3654</v>
      </c>
      <c r="F4" s="39">
        <v>39.526</v>
      </c>
      <c r="G4" s="39">
        <v>38.853</v>
      </c>
      <c r="H4" s="66">
        <v>40.0</v>
      </c>
      <c r="I4" s="45">
        <v>19.0217</v>
      </c>
      <c r="J4" s="45">
        <v>73.04323</v>
      </c>
      <c r="K4" s="45">
        <v>19.01823</v>
      </c>
      <c r="L4" s="45">
        <v>73.03797</v>
      </c>
      <c r="M4" s="66" t="s">
        <v>3655</v>
      </c>
      <c r="O4" s="39" t="s">
        <v>3485</v>
      </c>
    </row>
    <row r="5">
      <c r="A5" s="39" t="s">
        <v>3647</v>
      </c>
      <c r="B5" s="39" t="s">
        <v>11</v>
      </c>
      <c r="C5" s="39" t="s">
        <v>397</v>
      </c>
      <c r="D5" s="56" t="s">
        <v>3656</v>
      </c>
      <c r="E5" s="56" t="s">
        <v>3657</v>
      </c>
      <c r="F5" s="39">
        <v>38.494</v>
      </c>
      <c r="G5" s="39">
        <v>38.128</v>
      </c>
      <c r="H5" s="66">
        <v>45.0</v>
      </c>
      <c r="I5" s="45">
        <v>19.01821</v>
      </c>
      <c r="J5" s="45">
        <v>73.0379</v>
      </c>
      <c r="K5" s="45">
        <v>19.01677</v>
      </c>
      <c r="L5" s="45">
        <v>73.03476</v>
      </c>
      <c r="M5" s="66" t="s">
        <v>3658</v>
      </c>
      <c r="O5" s="39" t="s">
        <v>3489</v>
      </c>
    </row>
    <row r="6">
      <c r="A6" s="39" t="s">
        <v>3647</v>
      </c>
      <c r="B6" s="39" t="s">
        <v>11</v>
      </c>
      <c r="C6" s="39" t="s">
        <v>397</v>
      </c>
      <c r="D6" s="56" t="s">
        <v>3657</v>
      </c>
      <c r="E6" s="56" t="s">
        <v>3659</v>
      </c>
      <c r="F6" s="39">
        <v>37.948</v>
      </c>
      <c r="G6" s="39">
        <v>37.648</v>
      </c>
      <c r="H6" s="66">
        <v>65.0</v>
      </c>
      <c r="I6" s="45">
        <v>19.01675</v>
      </c>
      <c r="J6" s="45">
        <v>73.0347</v>
      </c>
      <c r="K6" s="45">
        <v>19.01631</v>
      </c>
      <c r="L6" s="45">
        <v>73.03187</v>
      </c>
      <c r="M6" s="66" t="s">
        <v>3658</v>
      </c>
      <c r="O6" s="39" t="s">
        <v>3491</v>
      </c>
    </row>
    <row r="7">
      <c r="A7" s="39" t="s">
        <v>3647</v>
      </c>
      <c r="B7" s="39" t="s">
        <v>11</v>
      </c>
      <c r="C7" s="39" t="s">
        <v>397</v>
      </c>
      <c r="D7" s="56" t="s">
        <v>3660</v>
      </c>
      <c r="E7" s="56" t="s">
        <v>3661</v>
      </c>
      <c r="F7" s="39">
        <v>36.356</v>
      </c>
      <c r="G7" s="39">
        <v>35.635</v>
      </c>
      <c r="H7" s="66">
        <v>80.0</v>
      </c>
      <c r="I7" s="45">
        <v>19.01626</v>
      </c>
      <c r="J7" s="45">
        <v>73.02818</v>
      </c>
      <c r="K7" s="45">
        <v>19.0192</v>
      </c>
      <c r="L7" s="45">
        <v>73.02235</v>
      </c>
      <c r="M7" s="66" t="s">
        <v>3662</v>
      </c>
      <c r="O7" s="39" t="s">
        <v>3493</v>
      </c>
    </row>
    <row r="8">
      <c r="A8" s="39" t="s">
        <v>3647</v>
      </c>
      <c r="B8" s="39" t="s">
        <v>11</v>
      </c>
      <c r="C8" s="39" t="s">
        <v>397</v>
      </c>
      <c r="D8" s="56" t="s">
        <v>3663</v>
      </c>
      <c r="E8" s="56" t="s">
        <v>3664</v>
      </c>
      <c r="F8" s="39">
        <v>36.102</v>
      </c>
      <c r="G8" s="39">
        <v>35.993</v>
      </c>
      <c r="H8" s="66">
        <v>65.0</v>
      </c>
      <c r="I8" s="45">
        <v>19.01949</v>
      </c>
      <c r="J8" s="45">
        <v>73.02199</v>
      </c>
      <c r="K8" s="83">
        <v>19.02015</v>
      </c>
      <c r="L8" s="83">
        <v>73.02122</v>
      </c>
      <c r="M8" s="66" t="s">
        <v>3665</v>
      </c>
      <c r="O8" s="39" t="s">
        <v>3495</v>
      </c>
    </row>
    <row r="9">
      <c r="A9" s="39" t="s">
        <v>3647</v>
      </c>
      <c r="B9" s="39" t="s">
        <v>11</v>
      </c>
      <c r="C9" s="39" t="s">
        <v>397</v>
      </c>
      <c r="D9" s="56" t="s">
        <v>3666</v>
      </c>
      <c r="E9" s="56" t="s">
        <v>3667</v>
      </c>
      <c r="F9" s="39">
        <v>33.88</v>
      </c>
      <c r="G9" s="39">
        <v>33.275</v>
      </c>
      <c r="H9" s="66">
        <v>85.0</v>
      </c>
      <c r="I9" s="45">
        <v>19.03604</v>
      </c>
      <c r="J9" s="45">
        <v>73.01825</v>
      </c>
      <c r="K9" s="45">
        <v>19.04143</v>
      </c>
      <c r="L9" s="45">
        <v>73.01873</v>
      </c>
      <c r="M9" s="66" t="s">
        <v>3668</v>
      </c>
      <c r="O9" s="39" t="s">
        <v>3504</v>
      </c>
    </row>
    <row r="10">
      <c r="A10" s="39" t="s">
        <v>3647</v>
      </c>
      <c r="B10" s="39" t="s">
        <v>11</v>
      </c>
      <c r="C10" s="39" t="s">
        <v>397</v>
      </c>
      <c r="D10" s="56" t="s">
        <v>3669</v>
      </c>
      <c r="E10" s="56" t="s">
        <v>3670</v>
      </c>
      <c r="F10" s="39">
        <v>33.356</v>
      </c>
      <c r="G10" s="39">
        <v>32.056</v>
      </c>
      <c r="H10" s="66">
        <v>90.0</v>
      </c>
      <c r="I10" s="45">
        <v>19.04143</v>
      </c>
      <c r="J10" s="45">
        <v>73.01873</v>
      </c>
      <c r="K10" s="45">
        <v>19.05296</v>
      </c>
      <c r="L10" s="45">
        <v>73.01831</v>
      </c>
      <c r="M10" s="66" t="s">
        <v>3662</v>
      </c>
      <c r="O10" s="39" t="s">
        <v>3506</v>
      </c>
    </row>
    <row r="11">
      <c r="A11" s="39" t="s">
        <v>3647</v>
      </c>
      <c r="B11" s="39" t="s">
        <v>11</v>
      </c>
      <c r="C11" s="39" t="s">
        <v>397</v>
      </c>
      <c r="D11" s="56" t="s">
        <v>3671</v>
      </c>
      <c r="E11" s="56" t="s">
        <v>3672</v>
      </c>
      <c r="F11" s="39">
        <v>32.437</v>
      </c>
      <c r="G11" s="39">
        <v>31.97</v>
      </c>
      <c r="H11" s="66">
        <v>80.0</v>
      </c>
      <c r="I11" s="45">
        <v>19.05296</v>
      </c>
      <c r="J11" s="45">
        <v>73.01831</v>
      </c>
      <c r="K11" s="45">
        <v>19.05715</v>
      </c>
      <c r="L11" s="45">
        <v>73.01816</v>
      </c>
      <c r="M11" s="66" t="s">
        <v>3662</v>
      </c>
      <c r="O11" s="39" t="s">
        <v>3511</v>
      </c>
    </row>
    <row r="12">
      <c r="A12" s="39" t="s">
        <v>3647</v>
      </c>
      <c r="B12" s="39" t="s">
        <v>11</v>
      </c>
      <c r="C12" s="39" t="s">
        <v>397</v>
      </c>
      <c r="D12" s="84">
        <v>46355.0</v>
      </c>
      <c r="E12" s="84">
        <v>46051.0</v>
      </c>
      <c r="F12" s="39">
        <v>29.665</v>
      </c>
      <c r="G12" s="39">
        <v>29.374</v>
      </c>
      <c r="H12" s="66">
        <v>45.0</v>
      </c>
      <c r="I12" s="45">
        <v>19.064</v>
      </c>
      <c r="J12" s="45">
        <v>73.00196</v>
      </c>
      <c r="K12" s="45">
        <v>19.06227</v>
      </c>
      <c r="L12" s="45">
        <v>72.99766</v>
      </c>
      <c r="M12" s="66" t="s">
        <v>3673</v>
      </c>
      <c r="O12" s="39" t="s">
        <v>3525</v>
      </c>
    </row>
    <row r="13">
      <c r="A13" s="39" t="s">
        <v>3647</v>
      </c>
      <c r="B13" s="39" t="s">
        <v>11</v>
      </c>
      <c r="C13" s="39" t="s">
        <v>397</v>
      </c>
      <c r="D13" s="56" t="s">
        <v>3674</v>
      </c>
      <c r="E13" s="56" t="s">
        <v>3675</v>
      </c>
      <c r="F13" s="39">
        <v>28.477</v>
      </c>
      <c r="G13" s="39">
        <v>28.259</v>
      </c>
      <c r="H13" s="66">
        <v>80.0</v>
      </c>
      <c r="I13" s="45">
        <v>19.06165</v>
      </c>
      <c r="J13" s="45">
        <v>72.99658</v>
      </c>
      <c r="K13" s="45">
        <v>19.06085</v>
      </c>
      <c r="L13" s="45">
        <v>72.99468</v>
      </c>
      <c r="M13" s="66" t="s">
        <v>3662</v>
      </c>
      <c r="O13" s="39" t="s">
        <v>3527</v>
      </c>
    </row>
    <row r="14">
      <c r="A14" s="39" t="s">
        <v>3647</v>
      </c>
      <c r="B14" s="39" t="s">
        <v>11</v>
      </c>
      <c r="C14" s="39" t="s">
        <v>397</v>
      </c>
      <c r="D14" s="56" t="s">
        <v>3676</v>
      </c>
      <c r="E14" s="84">
        <v>46074.0</v>
      </c>
      <c r="F14" s="39">
        <v>21.933</v>
      </c>
      <c r="G14" s="39">
        <v>20.913</v>
      </c>
      <c r="H14" s="66">
        <v>50.0</v>
      </c>
      <c r="I14" s="45">
        <v>19.04999</v>
      </c>
      <c r="J14" s="45">
        <v>72.93526</v>
      </c>
      <c r="K14" s="45">
        <v>19.04882</v>
      </c>
      <c r="L14" s="45">
        <v>72.92637</v>
      </c>
      <c r="M14" s="66" t="s">
        <v>3677</v>
      </c>
      <c r="O14" s="39" t="s">
        <v>3558</v>
      </c>
    </row>
    <row r="15">
      <c r="A15" s="39" t="s">
        <v>3647</v>
      </c>
      <c r="B15" s="39" t="s">
        <v>11</v>
      </c>
      <c r="C15" s="39" t="s">
        <v>397</v>
      </c>
      <c r="D15" s="56" t="s">
        <v>3678</v>
      </c>
      <c r="E15" s="56" t="s">
        <v>3679</v>
      </c>
      <c r="F15" s="39">
        <v>16.673</v>
      </c>
      <c r="G15" s="39">
        <v>15.851</v>
      </c>
      <c r="H15" s="66">
        <v>40.0</v>
      </c>
      <c r="I15" s="45">
        <v>19.06608</v>
      </c>
      <c r="J15" s="45">
        <v>72.88861</v>
      </c>
      <c r="K15" s="45">
        <v>19.06629</v>
      </c>
      <c r="L15" s="45">
        <v>72.88126</v>
      </c>
      <c r="M15" s="66" t="s">
        <v>3680</v>
      </c>
      <c r="O15" s="39" t="s">
        <v>3578</v>
      </c>
    </row>
    <row r="16">
      <c r="A16" s="39" t="s">
        <v>3647</v>
      </c>
      <c r="B16" s="39" t="s">
        <v>11</v>
      </c>
      <c r="C16" s="39" t="s">
        <v>397</v>
      </c>
      <c r="D16" s="56" t="s">
        <v>3681</v>
      </c>
      <c r="E16" s="56" t="s">
        <v>3682</v>
      </c>
      <c r="F16" s="39">
        <v>6.066</v>
      </c>
      <c r="G16" s="39">
        <v>2.742</v>
      </c>
      <c r="H16" s="66">
        <v>60.0</v>
      </c>
      <c r="I16" s="83">
        <v>18.98934</v>
      </c>
      <c r="J16" s="83">
        <v>72.84702</v>
      </c>
      <c r="K16" s="45">
        <v>18.96262</v>
      </c>
      <c r="L16" s="45">
        <v>72.84117</v>
      </c>
      <c r="M16" s="66" t="s">
        <v>3683</v>
      </c>
      <c r="O16" s="39" t="s">
        <v>3616</v>
      </c>
    </row>
    <row r="17">
      <c r="A17" s="39" t="s">
        <v>3647</v>
      </c>
      <c r="B17" s="39" t="s">
        <v>11</v>
      </c>
      <c r="C17" s="39" t="s">
        <v>397</v>
      </c>
      <c r="D17" s="56" t="s">
        <v>3684</v>
      </c>
      <c r="E17" s="56" t="s">
        <v>3685</v>
      </c>
      <c r="F17" s="39">
        <v>2.37</v>
      </c>
      <c r="G17" s="39">
        <v>1.532</v>
      </c>
      <c r="H17" s="66">
        <v>40.0</v>
      </c>
      <c r="I17" s="45">
        <v>18.96262</v>
      </c>
      <c r="J17" s="45">
        <v>72.84117</v>
      </c>
      <c r="K17" s="45">
        <v>18.95581</v>
      </c>
      <c r="L17" s="45">
        <v>72.83815</v>
      </c>
      <c r="M17" s="66" t="s">
        <v>3686</v>
      </c>
      <c r="O17" s="39" t="s">
        <v>3687</v>
      </c>
    </row>
    <row r="18">
      <c r="A18" s="39" t="s">
        <v>3647</v>
      </c>
      <c r="B18" s="39" t="s">
        <v>11</v>
      </c>
      <c r="C18" s="39" t="s">
        <v>397</v>
      </c>
      <c r="D18" s="56" t="s">
        <v>3688</v>
      </c>
      <c r="E18" s="56" t="s">
        <v>3689</v>
      </c>
      <c r="F18" s="39">
        <v>1.945</v>
      </c>
      <c r="G18" s="39">
        <v>1.804</v>
      </c>
      <c r="H18" s="66">
        <v>60.0</v>
      </c>
      <c r="I18" s="45">
        <v>18.9547</v>
      </c>
      <c r="J18" s="45">
        <v>72.83808</v>
      </c>
      <c r="K18" s="45">
        <v>18.95338</v>
      </c>
      <c r="L18" s="45">
        <v>72.83819</v>
      </c>
      <c r="M18" s="66" t="s">
        <v>3690</v>
      </c>
      <c r="O18" s="39" t="s">
        <v>3634</v>
      </c>
    </row>
    <row r="19">
      <c r="A19" s="39" t="s">
        <v>3647</v>
      </c>
      <c r="B19" s="39" t="s">
        <v>11</v>
      </c>
      <c r="C19" s="39" t="s">
        <v>397</v>
      </c>
      <c r="D19" s="85" t="s">
        <v>3691</v>
      </c>
      <c r="E19" s="85" t="s">
        <v>3692</v>
      </c>
      <c r="F19" s="39">
        <v>0.889</v>
      </c>
      <c r="H19" s="86">
        <v>40.0</v>
      </c>
      <c r="I19" s="86">
        <v>18.94956</v>
      </c>
      <c r="J19" s="86">
        <v>72.83817</v>
      </c>
      <c r="K19" s="87"/>
      <c r="L19" s="87"/>
      <c r="M19" s="86" t="s">
        <v>3693</v>
      </c>
      <c r="O19" s="39" t="s">
        <v>3640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39" t="s">
        <v>377</v>
      </c>
      <c r="B1" s="39" t="s">
        <v>378</v>
      </c>
    </row>
    <row r="2">
      <c r="A2" s="40" t="str">
        <f t="array" ref="A2:A25">SORT('Stations DN HB'!A2:A25, ROW('Stations DN HB'!A2:A25), FALSE)</f>
        <v>Panvel (PNVL) 48.94KM</v>
      </c>
      <c r="B2" s="39" t="s">
        <v>3694</v>
      </c>
    </row>
    <row r="3">
      <c r="A3" s="40" t="s">
        <v>1503</v>
      </c>
      <c r="B3" s="39" t="s">
        <v>3455</v>
      </c>
    </row>
    <row r="4">
      <c r="A4" s="40" t="s">
        <v>1502</v>
      </c>
      <c r="B4" s="39" t="s">
        <v>3463</v>
      </c>
    </row>
    <row r="5">
      <c r="A5" s="40" t="s">
        <v>1501</v>
      </c>
      <c r="B5" s="39" t="s">
        <v>3477</v>
      </c>
    </row>
    <row r="6">
      <c r="A6" s="40" t="s">
        <v>1500</v>
      </c>
      <c r="B6" s="39" t="s">
        <v>3487</v>
      </c>
    </row>
    <row r="7">
      <c r="A7" s="40" t="s">
        <v>1499</v>
      </c>
      <c r="B7" s="39" t="s">
        <v>3497</v>
      </c>
    </row>
    <row r="8">
      <c r="A8" s="40" t="s">
        <v>1498</v>
      </c>
      <c r="B8" s="39" t="s">
        <v>3502</v>
      </c>
    </row>
    <row r="9">
      <c r="A9" s="40" t="s">
        <v>1497</v>
      </c>
      <c r="B9" s="39" t="s">
        <v>3512</v>
      </c>
    </row>
    <row r="10">
      <c r="A10" s="40" t="s">
        <v>1496</v>
      </c>
      <c r="B10" s="39" t="s">
        <v>3520</v>
      </c>
    </row>
    <row r="11">
      <c r="A11" s="40" t="s">
        <v>1495</v>
      </c>
      <c r="B11" s="39" t="s">
        <v>3525</v>
      </c>
    </row>
    <row r="12">
      <c r="A12" s="40" t="s">
        <v>1494</v>
      </c>
      <c r="B12" s="39" t="s">
        <v>3560</v>
      </c>
    </row>
    <row r="13">
      <c r="A13" s="40" t="s">
        <v>1493</v>
      </c>
      <c r="B13" s="39" t="s">
        <v>3566</v>
      </c>
    </row>
    <row r="14">
      <c r="A14" s="40" t="s">
        <v>1492</v>
      </c>
      <c r="B14" s="39" t="s">
        <v>3572</v>
      </c>
    </row>
    <row r="15">
      <c r="A15" s="40" t="s">
        <v>1491</v>
      </c>
      <c r="B15" s="39" t="s">
        <v>3576</v>
      </c>
    </row>
    <row r="16">
      <c r="A16" s="40" t="s">
        <v>1490</v>
      </c>
      <c r="B16" s="39" t="s">
        <v>3581</v>
      </c>
    </row>
    <row r="17">
      <c r="A17" s="40" t="s">
        <v>1489</v>
      </c>
      <c r="B17" s="39" t="s">
        <v>3588</v>
      </c>
    </row>
    <row r="18">
      <c r="A18" s="40" t="s">
        <v>1488</v>
      </c>
      <c r="B18" s="39" t="s">
        <v>3592</v>
      </c>
    </row>
    <row r="19">
      <c r="A19" s="40" t="s">
        <v>1487</v>
      </c>
      <c r="B19" s="39" t="s">
        <v>3602</v>
      </c>
    </row>
    <row r="20">
      <c r="A20" s="40" t="s">
        <v>1486</v>
      </c>
      <c r="B20" s="39" t="s">
        <v>3610</v>
      </c>
    </row>
    <row r="21">
      <c r="A21" s="40" t="s">
        <v>1485</v>
      </c>
      <c r="B21" s="39" t="s">
        <v>3618</v>
      </c>
    </row>
    <row r="22">
      <c r="A22" s="40" t="s">
        <v>1484</v>
      </c>
      <c r="B22" s="39" t="s">
        <v>3622</v>
      </c>
    </row>
    <row r="23">
      <c r="A23" s="40" t="s">
        <v>1483</v>
      </c>
      <c r="B23" s="39" t="s">
        <v>3628</v>
      </c>
    </row>
    <row r="24">
      <c r="A24" s="40" t="s">
        <v>1482</v>
      </c>
      <c r="B24" s="39" t="s">
        <v>3687</v>
      </c>
    </row>
    <row r="25">
      <c r="A25" s="40" t="s">
        <v>1481</v>
      </c>
      <c r="B25" s="39" t="s">
        <v>3638</v>
      </c>
    </row>
    <row r="26">
      <c r="A26" s="39" t="s">
        <v>3695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71" t="s">
        <v>3696</v>
      </c>
      <c r="B2" s="39" t="s">
        <v>3697</v>
      </c>
      <c r="C2" s="39" t="s">
        <v>3698</v>
      </c>
      <c r="D2" s="39" t="s">
        <v>19</v>
      </c>
      <c r="E2" s="39" t="s">
        <v>3699</v>
      </c>
      <c r="F2" s="39" t="s">
        <v>64</v>
      </c>
      <c r="G2" s="71" t="s">
        <v>657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AD2" s="39">
        <v>1.0</v>
      </c>
    </row>
    <row r="3">
      <c r="A3" s="71" t="s">
        <v>3700</v>
      </c>
      <c r="B3" s="39" t="s">
        <v>3697</v>
      </c>
      <c r="C3" s="39" t="s">
        <v>3698</v>
      </c>
      <c r="D3" s="39" t="s">
        <v>19</v>
      </c>
      <c r="E3" s="39" t="s">
        <v>3699</v>
      </c>
      <c r="F3" s="39" t="s">
        <v>64</v>
      </c>
      <c r="G3" s="71" t="s">
        <v>662</v>
      </c>
      <c r="L3" s="2" t="s">
        <v>66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0.0</v>
      </c>
      <c r="X3" s="39">
        <v>0.0</v>
      </c>
      <c r="Y3" s="39">
        <v>0.0</v>
      </c>
      <c r="AD3" s="39">
        <v>1.0</v>
      </c>
    </row>
    <row r="4">
      <c r="A4" s="71" t="s">
        <v>3701</v>
      </c>
      <c r="D4" s="39" t="s">
        <v>19</v>
      </c>
      <c r="E4" s="39" t="s">
        <v>3699</v>
      </c>
      <c r="F4" s="39" t="s">
        <v>64</v>
      </c>
      <c r="G4" s="71" t="s">
        <v>1723</v>
      </c>
      <c r="H4" s="71" t="s">
        <v>1723</v>
      </c>
      <c r="L4" s="39" t="s">
        <v>102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300.0</v>
      </c>
      <c r="AD4" s="39">
        <v>1.0</v>
      </c>
    </row>
    <row r="5">
      <c r="A5" s="71" t="s">
        <v>3702</v>
      </c>
      <c r="D5" s="39" t="s">
        <v>19</v>
      </c>
      <c r="E5" s="39" t="s">
        <v>3699</v>
      </c>
      <c r="F5" s="39" t="s">
        <v>64</v>
      </c>
      <c r="G5" s="71" t="s">
        <v>3703</v>
      </c>
      <c r="H5" s="71" t="s">
        <v>3703</v>
      </c>
      <c r="L5" s="39" t="s">
        <v>102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250.0</v>
      </c>
      <c r="AD5" s="39">
        <v>1.0</v>
      </c>
    </row>
    <row r="6">
      <c r="A6" s="71" t="s">
        <v>3704</v>
      </c>
      <c r="D6" s="39" t="s">
        <v>19</v>
      </c>
      <c r="E6" s="39" t="s">
        <v>3699</v>
      </c>
      <c r="F6" s="39" t="s">
        <v>64</v>
      </c>
      <c r="G6" s="39" t="s">
        <v>3705</v>
      </c>
      <c r="H6" s="39" t="s">
        <v>3705</v>
      </c>
      <c r="L6" s="39" t="s">
        <v>102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700.0</v>
      </c>
      <c r="AD6" s="39">
        <v>1.0</v>
      </c>
    </row>
    <row r="7">
      <c r="A7" s="71" t="s">
        <v>3706</v>
      </c>
      <c r="D7" s="39" t="s">
        <v>19</v>
      </c>
      <c r="E7" s="39" t="s">
        <v>3699</v>
      </c>
      <c r="F7" s="39" t="s">
        <v>64</v>
      </c>
      <c r="G7" s="39" t="s">
        <v>3707</v>
      </c>
      <c r="H7" s="39" t="s">
        <v>3707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1000.0</v>
      </c>
      <c r="AD7" s="39">
        <v>1.0</v>
      </c>
    </row>
    <row r="8">
      <c r="A8" s="39" t="s">
        <v>3708</v>
      </c>
      <c r="D8" s="39" t="s">
        <v>19</v>
      </c>
      <c r="E8" s="39" t="s">
        <v>3699</v>
      </c>
      <c r="F8" s="39" t="s">
        <v>64</v>
      </c>
      <c r="G8" s="39" t="s">
        <v>3709</v>
      </c>
      <c r="H8" s="39" t="s">
        <v>3709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700.0</v>
      </c>
      <c r="AD8" s="39">
        <v>1.0</v>
      </c>
    </row>
    <row r="9">
      <c r="A9" s="39" t="s">
        <v>3710</v>
      </c>
      <c r="D9" s="39" t="s">
        <v>19</v>
      </c>
      <c r="E9" s="39" t="s">
        <v>3699</v>
      </c>
      <c r="F9" s="39" t="s">
        <v>64</v>
      </c>
      <c r="G9" s="39" t="s">
        <v>3711</v>
      </c>
      <c r="H9" s="39" t="s">
        <v>3711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1500.0</v>
      </c>
      <c r="AD9" s="39">
        <v>1.0</v>
      </c>
    </row>
    <row r="10">
      <c r="A10" s="39" t="s">
        <v>3712</v>
      </c>
      <c r="D10" s="39" t="s">
        <v>19</v>
      </c>
      <c r="E10" s="39" t="s">
        <v>3699</v>
      </c>
      <c r="F10" s="39" t="s">
        <v>64</v>
      </c>
      <c r="G10" s="39" t="s">
        <v>3713</v>
      </c>
      <c r="H10" s="39" t="s">
        <v>3713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500.0</v>
      </c>
      <c r="AD10" s="39">
        <v>1.0</v>
      </c>
    </row>
    <row r="11">
      <c r="A11" s="39" t="s">
        <v>3714</v>
      </c>
      <c r="D11" s="39" t="s">
        <v>19</v>
      </c>
      <c r="E11" s="39" t="s">
        <v>3699</v>
      </c>
      <c r="F11" s="39" t="s">
        <v>64</v>
      </c>
      <c r="G11" s="39" t="s">
        <v>3715</v>
      </c>
      <c r="H11" s="39" t="s">
        <v>3715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1000.0</v>
      </c>
      <c r="AD11" s="39">
        <v>1.0</v>
      </c>
    </row>
    <row r="12">
      <c r="A12" s="39" t="s">
        <v>3716</v>
      </c>
      <c r="D12" s="39" t="s">
        <v>19</v>
      </c>
      <c r="E12" s="39" t="s">
        <v>3699</v>
      </c>
      <c r="F12" s="39" t="s">
        <v>64</v>
      </c>
      <c r="G12" s="39" t="s">
        <v>3717</v>
      </c>
      <c r="H12" s="39" t="s">
        <v>3717</v>
      </c>
      <c r="L12" s="39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800.0</v>
      </c>
      <c r="AD12" s="39">
        <v>1.0</v>
      </c>
    </row>
    <row r="13">
      <c r="A13" s="39" t="s">
        <v>3718</v>
      </c>
      <c r="D13" s="39" t="s">
        <v>19</v>
      </c>
      <c r="E13" s="39" t="s">
        <v>3699</v>
      </c>
      <c r="F13" s="39" t="s">
        <v>64</v>
      </c>
      <c r="G13" s="39" t="s">
        <v>3719</v>
      </c>
      <c r="H13" s="39" t="s">
        <v>3719</v>
      </c>
      <c r="L13" s="39" t="s">
        <v>102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800.0</v>
      </c>
      <c r="AD13" s="39">
        <v>1.0</v>
      </c>
    </row>
    <row r="14">
      <c r="A14" s="39" t="s">
        <v>3720</v>
      </c>
      <c r="D14" s="39" t="s">
        <v>19</v>
      </c>
      <c r="E14" s="39" t="s">
        <v>3699</v>
      </c>
      <c r="F14" s="39" t="s">
        <v>64</v>
      </c>
      <c r="G14" s="39" t="s">
        <v>3721</v>
      </c>
      <c r="H14" s="39" t="s">
        <v>3721</v>
      </c>
      <c r="L14" s="39" t="s">
        <v>102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300.0</v>
      </c>
      <c r="AD14" s="39">
        <v>1.0</v>
      </c>
    </row>
    <row r="15">
      <c r="A15" s="39" t="s">
        <v>3722</v>
      </c>
      <c r="D15" s="39" t="s">
        <v>19</v>
      </c>
      <c r="E15" s="39" t="s">
        <v>3699</v>
      </c>
      <c r="F15" s="39" t="s">
        <v>64</v>
      </c>
      <c r="G15" s="39" t="s">
        <v>3723</v>
      </c>
      <c r="H15" s="39" t="s">
        <v>3723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500.0</v>
      </c>
      <c r="AD15" s="39">
        <v>1.0</v>
      </c>
    </row>
    <row r="16">
      <c r="A16" s="39" t="s">
        <v>3724</v>
      </c>
      <c r="B16" s="39" t="s">
        <v>3725</v>
      </c>
      <c r="C16" s="39" t="s">
        <v>3726</v>
      </c>
      <c r="D16" s="39" t="s">
        <v>19</v>
      </c>
      <c r="E16" s="39" t="s">
        <v>3699</v>
      </c>
      <c r="F16" s="39" t="s">
        <v>64</v>
      </c>
      <c r="G16" s="39" t="s">
        <v>3727</v>
      </c>
      <c r="H16" s="39" t="s">
        <v>3727</v>
      </c>
      <c r="L16" s="2" t="s">
        <v>66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1500.0</v>
      </c>
      <c r="AD16" s="39">
        <v>1.0</v>
      </c>
    </row>
    <row r="17">
      <c r="A17" s="71" t="s">
        <v>3728</v>
      </c>
      <c r="B17" s="39" t="s">
        <v>3725</v>
      </c>
      <c r="C17" s="39" t="s">
        <v>3726</v>
      </c>
      <c r="D17" s="39" t="s">
        <v>19</v>
      </c>
      <c r="E17" s="39" t="s">
        <v>3699</v>
      </c>
      <c r="F17" s="39" t="s">
        <v>64</v>
      </c>
      <c r="G17" s="39" t="s">
        <v>662</v>
      </c>
      <c r="L17" s="2" t="s">
        <v>66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1.0</v>
      </c>
      <c r="X17" s="39">
        <v>0.0</v>
      </c>
      <c r="Y17" s="39">
        <v>0.0</v>
      </c>
      <c r="AC17" s="39">
        <v>400.0</v>
      </c>
      <c r="AD17" s="39">
        <v>1.0</v>
      </c>
    </row>
    <row r="18">
      <c r="A18" s="71" t="s">
        <v>3729</v>
      </c>
      <c r="B18" s="39" t="s">
        <v>3725</v>
      </c>
      <c r="C18" s="39" t="s">
        <v>3726</v>
      </c>
      <c r="D18" s="39" t="s">
        <v>19</v>
      </c>
      <c r="E18" s="39" t="s">
        <v>3699</v>
      </c>
      <c r="F18" s="39" t="s">
        <v>64</v>
      </c>
      <c r="G18" s="39" t="s">
        <v>657</v>
      </c>
      <c r="L18" s="2" t="s">
        <v>66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1.0</v>
      </c>
      <c r="W18" s="39">
        <v>1.0</v>
      </c>
      <c r="X18" s="39">
        <v>0.0</v>
      </c>
      <c r="Y18" s="39">
        <v>0.0</v>
      </c>
      <c r="AD18" s="39">
        <v>1.0</v>
      </c>
    </row>
    <row r="19">
      <c r="A19" s="71" t="s">
        <v>3730</v>
      </c>
      <c r="D19" s="39" t="s">
        <v>19</v>
      </c>
      <c r="E19" s="39" t="s">
        <v>3699</v>
      </c>
      <c r="F19" s="39" t="s">
        <v>64</v>
      </c>
      <c r="G19" s="39" t="s">
        <v>3731</v>
      </c>
      <c r="H19" s="39" t="s">
        <v>3731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1000.0</v>
      </c>
      <c r="AD19" s="39">
        <v>1.0</v>
      </c>
    </row>
    <row r="20">
      <c r="A20" s="71" t="s">
        <v>3732</v>
      </c>
      <c r="D20" s="39" t="s">
        <v>19</v>
      </c>
      <c r="E20" s="39" t="s">
        <v>3699</v>
      </c>
      <c r="F20" s="39" t="s">
        <v>64</v>
      </c>
      <c r="G20" s="39" t="s">
        <v>3733</v>
      </c>
      <c r="H20" s="39" t="s">
        <v>3733</v>
      </c>
      <c r="L20" s="39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600.0</v>
      </c>
      <c r="AD20" s="39">
        <v>1.0</v>
      </c>
    </row>
    <row r="21">
      <c r="A21" s="71" t="s">
        <v>3734</v>
      </c>
      <c r="D21" s="39" t="s">
        <v>19</v>
      </c>
      <c r="E21" s="39" t="s">
        <v>3699</v>
      </c>
      <c r="F21" s="39" t="s">
        <v>64</v>
      </c>
      <c r="L21" s="39" t="s">
        <v>102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800.0</v>
      </c>
      <c r="AD21" s="39">
        <v>1.0</v>
      </c>
    </row>
    <row r="22">
      <c r="A22" s="71" t="s">
        <v>3735</v>
      </c>
      <c r="D22" s="39" t="s">
        <v>19</v>
      </c>
      <c r="E22" s="39" t="s">
        <v>3699</v>
      </c>
      <c r="F22" s="39" t="s">
        <v>64</v>
      </c>
      <c r="G22" s="39" t="s">
        <v>3736</v>
      </c>
      <c r="H22" s="39" t="s">
        <v>3736</v>
      </c>
      <c r="L22" s="39" t="s">
        <v>102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500.0</v>
      </c>
      <c r="AD22" s="39">
        <v>1.0</v>
      </c>
    </row>
    <row r="23">
      <c r="A23" s="71" t="s">
        <v>3737</v>
      </c>
      <c r="D23" s="39" t="s">
        <v>19</v>
      </c>
      <c r="E23" s="39" t="s">
        <v>3699</v>
      </c>
      <c r="F23" s="39" t="s">
        <v>64</v>
      </c>
      <c r="G23" s="39" t="s">
        <v>3738</v>
      </c>
      <c r="H23" s="39" t="s">
        <v>3738</v>
      </c>
      <c r="L23" s="39" t="s">
        <v>102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205.0</v>
      </c>
      <c r="AD23" s="39">
        <v>1.0</v>
      </c>
    </row>
    <row r="24">
      <c r="A24" s="71" t="s">
        <v>3739</v>
      </c>
      <c r="D24" s="39" t="s">
        <v>19</v>
      </c>
      <c r="E24" s="39" t="s">
        <v>3699</v>
      </c>
      <c r="F24" s="39" t="s">
        <v>64</v>
      </c>
      <c r="G24" s="39" t="s">
        <v>3656</v>
      </c>
      <c r="H24" s="39" t="s">
        <v>3656</v>
      </c>
      <c r="L24" s="39" t="s">
        <v>102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600.0</v>
      </c>
      <c r="AD24" s="39">
        <v>1.0</v>
      </c>
    </row>
    <row r="25">
      <c r="A25" s="71" t="s">
        <v>3740</v>
      </c>
      <c r="B25" s="39" t="s">
        <v>3741</v>
      </c>
      <c r="C25" s="39" t="s">
        <v>3742</v>
      </c>
      <c r="D25" s="39" t="s">
        <v>19</v>
      </c>
      <c r="E25" s="39" t="s">
        <v>3699</v>
      </c>
      <c r="F25" s="39" t="s">
        <v>64</v>
      </c>
      <c r="G25" s="39" t="s">
        <v>3743</v>
      </c>
      <c r="H25" s="39" t="s">
        <v>3743</v>
      </c>
      <c r="L25" s="2" t="s">
        <v>66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1.0</v>
      </c>
      <c r="W25" s="39">
        <v>0.0</v>
      </c>
      <c r="X25" s="39">
        <v>0.0</v>
      </c>
      <c r="Y25" s="39">
        <v>1.0</v>
      </c>
      <c r="Z25" s="30" t="s">
        <v>3744</v>
      </c>
      <c r="AA25" s="30" t="s">
        <v>97</v>
      </c>
      <c r="AC25" s="39">
        <v>600.0</v>
      </c>
      <c r="AD25" s="39">
        <v>1.0</v>
      </c>
    </row>
    <row r="26">
      <c r="A26" s="71" t="s">
        <v>3745</v>
      </c>
      <c r="D26" s="39" t="s">
        <v>19</v>
      </c>
      <c r="E26" s="39" t="s">
        <v>3699</v>
      </c>
      <c r="F26" s="39" t="s">
        <v>64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205.0</v>
      </c>
      <c r="AD26" s="39">
        <v>1.0</v>
      </c>
    </row>
    <row r="27">
      <c r="A27" s="71" t="s">
        <v>3746</v>
      </c>
      <c r="D27" s="39" t="s">
        <v>19</v>
      </c>
      <c r="E27" s="39" t="s">
        <v>3699</v>
      </c>
      <c r="F27" s="39" t="s">
        <v>64</v>
      </c>
      <c r="L27" s="39" t="s">
        <v>102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600.0</v>
      </c>
      <c r="AD27" s="39">
        <v>1.0</v>
      </c>
    </row>
    <row r="28">
      <c r="A28" s="71" t="s">
        <v>3747</v>
      </c>
      <c r="B28" s="39" t="s">
        <v>1344</v>
      </c>
      <c r="C28" s="39" t="s">
        <v>1345</v>
      </c>
      <c r="D28" s="39" t="s">
        <v>19</v>
      </c>
      <c r="E28" s="39" t="s">
        <v>3699</v>
      </c>
      <c r="F28" s="39" t="s">
        <v>64</v>
      </c>
      <c r="L28" s="2" t="s">
        <v>66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1.0</v>
      </c>
      <c r="W28" s="39">
        <v>0.0</v>
      </c>
      <c r="X28" s="39">
        <v>0.0</v>
      </c>
      <c r="Y28" s="39">
        <v>3.0</v>
      </c>
      <c r="AC28" s="39">
        <v>208.0</v>
      </c>
      <c r="AD28" s="39">
        <v>1.0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19</v>
      </c>
      <c r="B2" s="39" t="s">
        <v>3748</v>
      </c>
      <c r="C2" s="39" t="s">
        <v>397</v>
      </c>
      <c r="H2" s="39">
        <v>40.0</v>
      </c>
      <c r="O2" s="39" t="s">
        <v>3701</v>
      </c>
    </row>
    <row r="3">
      <c r="A3" s="39" t="s">
        <v>19</v>
      </c>
      <c r="B3" s="39" t="s">
        <v>3748</v>
      </c>
      <c r="C3" s="39" t="s">
        <v>397</v>
      </c>
      <c r="H3" s="39">
        <v>70.0</v>
      </c>
      <c r="O3" s="39" t="s">
        <v>3734</v>
      </c>
    </row>
    <row r="4">
      <c r="A4" s="39" t="s">
        <v>19</v>
      </c>
      <c r="B4" s="39" t="s">
        <v>3748</v>
      </c>
      <c r="C4" s="39" t="s">
        <v>397</v>
      </c>
      <c r="H4" s="39">
        <v>80.0</v>
      </c>
      <c r="O4" s="39" t="s">
        <v>3737</v>
      </c>
    </row>
    <row r="5">
      <c r="A5" s="39" t="s">
        <v>19</v>
      </c>
      <c r="B5" s="39" t="s">
        <v>3748</v>
      </c>
      <c r="C5" s="39" t="s">
        <v>397</v>
      </c>
      <c r="H5" s="39">
        <v>85.0</v>
      </c>
      <c r="O5" s="39" t="s">
        <v>3740</v>
      </c>
    </row>
    <row r="6">
      <c r="A6" s="39" t="s">
        <v>19</v>
      </c>
      <c r="B6" s="39" t="s">
        <v>3748</v>
      </c>
      <c r="C6" s="39" t="s">
        <v>397</v>
      </c>
      <c r="H6" s="39">
        <v>85.0</v>
      </c>
      <c r="O6" s="39" t="s">
        <v>3701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39" t="s">
        <v>377</v>
      </c>
      <c r="B1" s="39" t="s">
        <v>378</v>
      </c>
    </row>
    <row r="2">
      <c r="A2" s="39" t="s">
        <v>3749</v>
      </c>
      <c r="B2" s="39" t="s">
        <v>3696</v>
      </c>
    </row>
    <row r="3">
      <c r="A3" s="39" t="s">
        <v>3750</v>
      </c>
      <c r="B3" s="39" t="s">
        <v>3702</v>
      </c>
    </row>
    <row r="4">
      <c r="A4" s="39" t="s">
        <v>3751</v>
      </c>
      <c r="B4" s="39" t="s">
        <v>3708</v>
      </c>
    </row>
    <row r="5">
      <c r="A5" s="39" t="s">
        <v>3752</v>
      </c>
      <c r="B5" s="39" t="s">
        <v>3714</v>
      </c>
    </row>
    <row r="6">
      <c r="A6" s="39" t="s">
        <v>3753</v>
      </c>
      <c r="B6" s="39" t="s">
        <v>3722</v>
      </c>
    </row>
    <row r="7">
      <c r="A7" s="39" t="s">
        <v>3754</v>
      </c>
      <c r="B7" s="39" t="s">
        <v>3728</v>
      </c>
    </row>
    <row r="8">
      <c r="A8" s="39" t="s">
        <v>3755</v>
      </c>
      <c r="B8" s="39" t="s">
        <v>3732</v>
      </c>
    </row>
    <row r="9">
      <c r="A9" s="39" t="s">
        <v>3756</v>
      </c>
      <c r="B9" s="39" t="s">
        <v>3735</v>
      </c>
    </row>
    <row r="10">
      <c r="A10" s="39" t="s">
        <v>3757</v>
      </c>
      <c r="B10" s="39" t="s">
        <v>3740</v>
      </c>
    </row>
    <row r="11">
      <c r="A11" s="39" t="s">
        <v>3758</v>
      </c>
      <c r="B11" s="39" t="s">
        <v>3746</v>
      </c>
    </row>
    <row r="12">
      <c r="A12" s="39" t="s">
        <v>3759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3760</v>
      </c>
      <c r="B2" s="39" t="s">
        <v>1344</v>
      </c>
      <c r="C2" s="39" t="s">
        <v>1345</v>
      </c>
      <c r="D2" s="39" t="s">
        <v>18</v>
      </c>
      <c r="E2" s="39" t="s">
        <v>3748</v>
      </c>
      <c r="F2" s="39" t="s">
        <v>397</v>
      </c>
      <c r="G2" s="39" t="s">
        <v>76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AE2" s="39">
        <v>1.0</v>
      </c>
    </row>
    <row r="3">
      <c r="A3" s="39" t="s">
        <v>3761</v>
      </c>
      <c r="B3" s="39" t="s">
        <v>1344</v>
      </c>
      <c r="C3" s="39" t="s">
        <v>1345</v>
      </c>
      <c r="D3" s="39" t="s">
        <v>18</v>
      </c>
      <c r="E3" s="39" t="s">
        <v>3748</v>
      </c>
      <c r="F3" s="39" t="s">
        <v>397</v>
      </c>
      <c r="G3" s="39" t="s">
        <v>80</v>
      </c>
      <c r="L3" s="2" t="s">
        <v>66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AE3" s="39">
        <v>1.0</v>
      </c>
    </row>
    <row r="4">
      <c r="A4" s="39" t="s">
        <v>3762</v>
      </c>
      <c r="B4" s="39" t="s">
        <v>1344</v>
      </c>
      <c r="C4" s="39" t="s">
        <v>1345</v>
      </c>
      <c r="D4" s="39" t="s">
        <v>18</v>
      </c>
      <c r="E4" s="39" t="s">
        <v>3748</v>
      </c>
      <c r="F4" s="39" t="s">
        <v>397</v>
      </c>
      <c r="G4" s="39" t="s">
        <v>3763</v>
      </c>
      <c r="H4" s="39" t="s">
        <v>3763</v>
      </c>
      <c r="L4" s="2" t="s">
        <v>66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AC4" s="39">
        <v>500.0</v>
      </c>
      <c r="AE4" s="39">
        <v>1.0</v>
      </c>
    </row>
    <row r="5">
      <c r="A5" s="39" t="s">
        <v>3764</v>
      </c>
      <c r="D5" s="39" t="s">
        <v>18</v>
      </c>
      <c r="E5" s="39" t="s">
        <v>3748</v>
      </c>
      <c r="F5" s="39" t="s">
        <v>397</v>
      </c>
      <c r="G5" s="39" t="s">
        <v>3765</v>
      </c>
      <c r="L5" s="39" t="s">
        <v>102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400.0</v>
      </c>
      <c r="AE5" s="39">
        <v>1.0</v>
      </c>
    </row>
    <row r="6">
      <c r="A6" s="39" t="s">
        <v>3766</v>
      </c>
      <c r="B6" s="39" t="s">
        <v>3741</v>
      </c>
      <c r="C6" s="39" t="s">
        <v>3742</v>
      </c>
      <c r="D6" s="39" t="s">
        <v>18</v>
      </c>
      <c r="E6" s="39" t="s">
        <v>3748</v>
      </c>
      <c r="F6" s="39" t="s">
        <v>397</v>
      </c>
      <c r="G6" s="39" t="s">
        <v>3767</v>
      </c>
      <c r="H6" s="39" t="s">
        <v>3767</v>
      </c>
      <c r="L6" s="2" t="s">
        <v>66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AC6" s="39">
        <v>600.0</v>
      </c>
      <c r="AE6" s="39">
        <v>1.0</v>
      </c>
    </row>
    <row r="7">
      <c r="A7" s="39" t="s">
        <v>3768</v>
      </c>
      <c r="D7" s="39" t="s">
        <v>18</v>
      </c>
      <c r="E7" s="39" t="s">
        <v>3748</v>
      </c>
      <c r="F7" s="39" t="s">
        <v>397</v>
      </c>
      <c r="G7" s="39" t="s">
        <v>3769</v>
      </c>
      <c r="H7" s="39" t="s">
        <v>3769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300.0</v>
      </c>
      <c r="AE7" s="39">
        <v>1.0</v>
      </c>
    </row>
    <row r="8">
      <c r="A8" s="39" t="s">
        <v>3770</v>
      </c>
      <c r="D8" s="39" t="s">
        <v>18</v>
      </c>
      <c r="E8" s="39" t="s">
        <v>3748</v>
      </c>
      <c r="F8" s="39" t="s">
        <v>397</v>
      </c>
      <c r="G8" s="39" t="s">
        <v>3771</v>
      </c>
      <c r="H8" s="39" t="s">
        <v>3771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315.0</v>
      </c>
      <c r="AE8" s="39">
        <v>1.0</v>
      </c>
    </row>
    <row r="9">
      <c r="A9" s="39" t="s">
        <v>3772</v>
      </c>
      <c r="D9" s="39" t="s">
        <v>18</v>
      </c>
      <c r="E9" s="39" t="s">
        <v>3748</v>
      </c>
      <c r="F9" s="39" t="s">
        <v>397</v>
      </c>
      <c r="G9" s="39" t="s">
        <v>3773</v>
      </c>
      <c r="H9" s="39" t="s">
        <v>3773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350.0</v>
      </c>
      <c r="AE9" s="39">
        <v>1.0</v>
      </c>
    </row>
    <row r="10">
      <c r="A10" s="39" t="s">
        <v>3774</v>
      </c>
      <c r="D10" s="39" t="s">
        <v>18</v>
      </c>
      <c r="E10" s="39" t="s">
        <v>3748</v>
      </c>
      <c r="F10" s="39" t="s">
        <v>397</v>
      </c>
      <c r="G10" s="39" t="s">
        <v>3775</v>
      </c>
      <c r="H10" s="39" t="s">
        <v>3775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450.0</v>
      </c>
      <c r="AE10" s="39">
        <v>1.0</v>
      </c>
    </row>
    <row r="11">
      <c r="A11" s="39" t="s">
        <v>3776</v>
      </c>
      <c r="D11" s="39" t="s">
        <v>18</v>
      </c>
      <c r="E11" s="39" t="s">
        <v>3748</v>
      </c>
      <c r="F11" s="39" t="s">
        <v>397</v>
      </c>
      <c r="G11" s="39" t="s">
        <v>3777</v>
      </c>
      <c r="H11" s="39" t="s">
        <v>3777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1500.0</v>
      </c>
      <c r="AE11" s="39">
        <v>1.0</v>
      </c>
    </row>
    <row r="12">
      <c r="A12" s="39" t="s">
        <v>3778</v>
      </c>
      <c r="D12" s="39" t="s">
        <v>18</v>
      </c>
      <c r="E12" s="39" t="s">
        <v>3748</v>
      </c>
      <c r="F12" s="39" t="s">
        <v>397</v>
      </c>
      <c r="G12" s="39" t="s">
        <v>3779</v>
      </c>
      <c r="H12" s="39" t="s">
        <v>3779</v>
      </c>
      <c r="L12" s="39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2000.0</v>
      </c>
      <c r="AE12" s="39">
        <v>1.0</v>
      </c>
    </row>
    <row r="13">
      <c r="A13" s="39" t="s">
        <v>3780</v>
      </c>
      <c r="B13" s="39" t="s">
        <v>3725</v>
      </c>
      <c r="C13" s="39" t="s">
        <v>3726</v>
      </c>
      <c r="D13" s="39" t="s">
        <v>18</v>
      </c>
      <c r="E13" s="39" t="s">
        <v>3748</v>
      </c>
      <c r="F13" s="39" t="s">
        <v>397</v>
      </c>
      <c r="G13" s="39" t="s">
        <v>3781</v>
      </c>
      <c r="H13" s="39" t="s">
        <v>3781</v>
      </c>
      <c r="L13" s="2" t="s">
        <v>66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AC13" s="39">
        <v>2000.0</v>
      </c>
      <c r="AE13" s="39">
        <v>1.0</v>
      </c>
    </row>
    <row r="14">
      <c r="A14" s="39" t="s">
        <v>3782</v>
      </c>
      <c r="B14" s="39" t="s">
        <v>3725</v>
      </c>
      <c r="C14" s="39" t="s">
        <v>3726</v>
      </c>
      <c r="D14" s="39" t="s">
        <v>18</v>
      </c>
      <c r="E14" s="39" t="s">
        <v>3748</v>
      </c>
      <c r="F14" s="39" t="s">
        <v>397</v>
      </c>
      <c r="G14" s="39" t="s">
        <v>662</v>
      </c>
      <c r="L14" s="2" t="s">
        <v>66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AC14" s="39">
        <v>1560.0</v>
      </c>
      <c r="AE14" s="39">
        <v>1.0</v>
      </c>
    </row>
    <row r="15">
      <c r="A15" s="39" t="s">
        <v>3783</v>
      </c>
      <c r="D15" s="39" t="s">
        <v>18</v>
      </c>
      <c r="E15" s="39" t="s">
        <v>3748</v>
      </c>
      <c r="F15" s="39" t="s">
        <v>397</v>
      </c>
      <c r="G15" s="39" t="s">
        <v>3784</v>
      </c>
      <c r="H15" s="39" t="s">
        <v>3784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350.0</v>
      </c>
      <c r="AE15" s="39">
        <v>1.0</v>
      </c>
    </row>
    <row r="16">
      <c r="A16" s="39" t="s">
        <v>3785</v>
      </c>
      <c r="D16" s="39" t="s">
        <v>18</v>
      </c>
      <c r="E16" s="39" t="s">
        <v>3748</v>
      </c>
      <c r="F16" s="39" t="s">
        <v>397</v>
      </c>
      <c r="G16" s="39" t="s">
        <v>3786</v>
      </c>
      <c r="H16" s="39" t="s">
        <v>3786</v>
      </c>
      <c r="L16" s="39" t="s">
        <v>102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450.0</v>
      </c>
      <c r="AE16" s="39">
        <v>1.0</v>
      </c>
    </row>
    <row r="17">
      <c r="A17" s="39" t="s">
        <v>3787</v>
      </c>
      <c r="D17" s="39" t="s">
        <v>18</v>
      </c>
      <c r="E17" s="39" t="s">
        <v>3748</v>
      </c>
      <c r="F17" s="39" t="s">
        <v>397</v>
      </c>
      <c r="G17" s="39" t="s">
        <v>3788</v>
      </c>
      <c r="H17" s="39" t="s">
        <v>3788</v>
      </c>
      <c r="L17" s="39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1500.0</v>
      </c>
      <c r="AE17" s="39">
        <v>1.0</v>
      </c>
    </row>
    <row r="18">
      <c r="A18" s="39" t="s">
        <v>3789</v>
      </c>
      <c r="D18" s="39" t="s">
        <v>18</v>
      </c>
      <c r="E18" s="39" t="s">
        <v>3748</v>
      </c>
      <c r="F18" s="39" t="s">
        <v>397</v>
      </c>
      <c r="G18" s="39" t="s">
        <v>3790</v>
      </c>
      <c r="H18" s="39" t="s">
        <v>3790</v>
      </c>
      <c r="L18" s="39" t="s">
        <v>102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2000.0</v>
      </c>
      <c r="AE18" s="39">
        <v>1.0</v>
      </c>
    </row>
    <row r="19">
      <c r="A19" s="39" t="s">
        <v>3791</v>
      </c>
      <c r="D19" s="39" t="s">
        <v>18</v>
      </c>
      <c r="E19" s="39" t="s">
        <v>3748</v>
      </c>
      <c r="F19" s="39" t="s">
        <v>397</v>
      </c>
      <c r="G19" s="39" t="s">
        <v>3792</v>
      </c>
      <c r="H19" s="39" t="s">
        <v>3792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2000.0</v>
      </c>
      <c r="AE19" s="39">
        <v>1.0</v>
      </c>
    </row>
    <row r="20">
      <c r="A20" s="39" t="s">
        <v>3793</v>
      </c>
      <c r="D20" s="39" t="s">
        <v>18</v>
      </c>
      <c r="E20" s="39" t="s">
        <v>3748</v>
      </c>
      <c r="F20" s="39" t="s">
        <v>397</v>
      </c>
      <c r="G20" s="39" t="s">
        <v>3794</v>
      </c>
      <c r="H20" s="39" t="s">
        <v>3794</v>
      </c>
      <c r="L20" s="39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300.0</v>
      </c>
      <c r="AE20" s="39">
        <v>1.0</v>
      </c>
    </row>
    <row r="21">
      <c r="A21" s="39" t="s">
        <v>3795</v>
      </c>
      <c r="D21" s="39" t="s">
        <v>18</v>
      </c>
      <c r="E21" s="39" t="s">
        <v>3748</v>
      </c>
      <c r="F21" s="39" t="s">
        <v>397</v>
      </c>
      <c r="G21" s="39" t="s">
        <v>3796</v>
      </c>
      <c r="H21" s="39" t="s">
        <v>3796</v>
      </c>
      <c r="L21" s="39" t="s">
        <v>102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600.0</v>
      </c>
      <c r="AE21" s="39">
        <v>1.0</v>
      </c>
    </row>
    <row r="22">
      <c r="A22" s="39" t="s">
        <v>3797</v>
      </c>
      <c r="D22" s="39" t="s">
        <v>18</v>
      </c>
      <c r="E22" s="39" t="s">
        <v>3748</v>
      </c>
      <c r="F22" s="39" t="s">
        <v>397</v>
      </c>
      <c r="G22" s="39" t="s">
        <v>3798</v>
      </c>
      <c r="H22" s="39" t="s">
        <v>3798</v>
      </c>
      <c r="L22" s="39" t="s">
        <v>102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1500.0</v>
      </c>
      <c r="AE22" s="39">
        <v>1.0</v>
      </c>
    </row>
    <row r="23">
      <c r="A23" s="39" t="s">
        <v>3799</v>
      </c>
      <c r="D23" s="39" t="s">
        <v>18</v>
      </c>
      <c r="E23" s="39" t="s">
        <v>3748</v>
      </c>
      <c r="F23" s="39" t="s">
        <v>397</v>
      </c>
      <c r="G23" s="39" t="s">
        <v>3800</v>
      </c>
      <c r="H23" s="39" t="s">
        <v>3800</v>
      </c>
      <c r="L23" s="39" t="s">
        <v>102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1500.0</v>
      </c>
      <c r="AE23" s="39">
        <v>1.0</v>
      </c>
    </row>
    <row r="24">
      <c r="A24" s="39" t="s">
        <v>3801</v>
      </c>
      <c r="D24" s="39" t="s">
        <v>18</v>
      </c>
      <c r="E24" s="39" t="s">
        <v>3748</v>
      </c>
      <c r="F24" s="39" t="s">
        <v>397</v>
      </c>
      <c r="G24" s="39" t="s">
        <v>3241</v>
      </c>
      <c r="H24" s="39" t="s">
        <v>3241</v>
      </c>
      <c r="L24" s="39" t="s">
        <v>102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500.0</v>
      </c>
      <c r="AE24" s="39">
        <v>1.0</v>
      </c>
    </row>
    <row r="25">
      <c r="A25" s="39" t="s">
        <v>3802</v>
      </c>
      <c r="D25" s="39" t="s">
        <v>18</v>
      </c>
      <c r="E25" s="39" t="s">
        <v>3748</v>
      </c>
      <c r="F25" s="39" t="s">
        <v>397</v>
      </c>
      <c r="G25" s="39" t="s">
        <v>3803</v>
      </c>
      <c r="H25" s="39" t="s">
        <v>3803</v>
      </c>
      <c r="L25" s="39" t="s">
        <v>102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1000.0</v>
      </c>
      <c r="AE25" s="39">
        <v>1.0</v>
      </c>
    </row>
    <row r="26">
      <c r="A26" s="39" t="s">
        <v>3804</v>
      </c>
      <c r="D26" s="39" t="s">
        <v>18</v>
      </c>
      <c r="E26" s="39" t="s">
        <v>3748</v>
      </c>
      <c r="F26" s="39" t="s">
        <v>397</v>
      </c>
      <c r="G26" s="39" t="s">
        <v>3805</v>
      </c>
      <c r="H26" s="39" t="s">
        <v>3805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1000.0</v>
      </c>
      <c r="AE26" s="39">
        <v>1.0</v>
      </c>
    </row>
    <row r="27">
      <c r="A27" s="39" t="s">
        <v>3806</v>
      </c>
      <c r="D27" s="39" t="s">
        <v>18</v>
      </c>
      <c r="E27" s="39" t="s">
        <v>3748</v>
      </c>
      <c r="F27" s="39" t="s">
        <v>397</v>
      </c>
      <c r="G27" s="39" t="s">
        <v>3807</v>
      </c>
      <c r="H27" s="39" t="s">
        <v>3807</v>
      </c>
      <c r="L27" s="39" t="s">
        <v>102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1200.0</v>
      </c>
      <c r="AE27" s="39">
        <v>1.0</v>
      </c>
    </row>
    <row r="28">
      <c r="A28" s="39" t="s">
        <v>3808</v>
      </c>
      <c r="B28" s="39" t="s">
        <v>3697</v>
      </c>
      <c r="C28" s="39" t="s">
        <v>3809</v>
      </c>
      <c r="D28" s="39" t="s">
        <v>18</v>
      </c>
      <c r="E28" s="39" t="s">
        <v>3748</v>
      </c>
      <c r="F28" s="39" t="s">
        <v>397</v>
      </c>
      <c r="G28" s="39" t="s">
        <v>3810</v>
      </c>
      <c r="H28" s="39" t="s">
        <v>3810</v>
      </c>
      <c r="L28" s="2" t="s">
        <v>66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AC28" s="39">
        <v>600.0</v>
      </c>
      <c r="AE28" s="39">
        <v>1.0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18</v>
      </c>
      <c r="B2" s="39" t="s">
        <v>3699</v>
      </c>
      <c r="C2" s="39" t="s">
        <v>64</v>
      </c>
      <c r="H2" s="39">
        <v>85.0</v>
      </c>
      <c r="O2" s="39" t="s">
        <v>3770</v>
      </c>
    </row>
    <row r="3">
      <c r="A3" s="39" t="s">
        <v>18</v>
      </c>
      <c r="B3" s="39" t="s">
        <v>3699</v>
      </c>
      <c r="C3" s="39" t="s">
        <v>64</v>
      </c>
      <c r="H3" s="39">
        <v>80.0</v>
      </c>
      <c r="O3" s="39" t="s">
        <v>3772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1">
      <c r="A1" s="39" t="s">
        <v>377</v>
      </c>
      <c r="B1" s="39" t="s">
        <v>378</v>
      </c>
    </row>
    <row r="2">
      <c r="A2" s="39" t="s">
        <v>3759</v>
      </c>
      <c r="B2" s="39" t="s">
        <v>3760</v>
      </c>
    </row>
    <row r="3">
      <c r="A3" s="40" t="s">
        <v>3758</v>
      </c>
      <c r="B3" s="39" t="s">
        <v>3764</v>
      </c>
    </row>
    <row r="4">
      <c r="A4" s="40" t="s">
        <v>3757</v>
      </c>
      <c r="B4" s="39" t="s">
        <v>3768</v>
      </c>
    </row>
    <row r="5">
      <c r="A5" s="40" t="s">
        <v>3756</v>
      </c>
      <c r="B5" s="39" t="s">
        <v>3774</v>
      </c>
    </row>
    <row r="6">
      <c r="A6" s="40" t="s">
        <v>3755</v>
      </c>
      <c r="B6" s="39" t="s">
        <v>3778</v>
      </c>
    </row>
    <row r="7">
      <c r="A7" s="40" t="s">
        <v>3754</v>
      </c>
      <c r="B7" s="39" t="s">
        <v>3782</v>
      </c>
    </row>
    <row r="8">
      <c r="A8" s="40" t="s">
        <v>3753</v>
      </c>
      <c r="B8" s="39" t="s">
        <v>3787</v>
      </c>
    </row>
    <row r="9">
      <c r="A9" s="40" t="s">
        <v>3752</v>
      </c>
      <c r="B9" s="39" t="s">
        <v>3795</v>
      </c>
    </row>
    <row r="10">
      <c r="A10" s="40" t="s">
        <v>3751</v>
      </c>
      <c r="B10" s="39" t="s">
        <v>3801</v>
      </c>
    </row>
    <row r="11">
      <c r="A11" s="40" t="s">
        <v>3750</v>
      </c>
      <c r="B11" s="39" t="s">
        <v>3806</v>
      </c>
    </row>
    <row r="12">
      <c r="A12" s="40" t="s">
        <v>3749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3811</v>
      </c>
      <c r="B2" s="39" t="s">
        <v>1365</v>
      </c>
      <c r="C2" s="39" t="s">
        <v>1366</v>
      </c>
      <c r="D2" s="39" t="s">
        <v>3812</v>
      </c>
      <c r="E2" s="39" t="s">
        <v>3699</v>
      </c>
      <c r="F2" s="39" t="s">
        <v>64</v>
      </c>
      <c r="G2" s="39" t="s">
        <v>72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0.0</v>
      </c>
      <c r="X2" s="39">
        <v>0.0</v>
      </c>
      <c r="Y2" s="39">
        <v>0.0</v>
      </c>
      <c r="AE2" s="39">
        <v>1.0</v>
      </c>
    </row>
    <row r="3">
      <c r="A3" s="39" t="s">
        <v>3813</v>
      </c>
      <c r="B3" s="39" t="s">
        <v>1365</v>
      </c>
      <c r="C3" s="39" t="s">
        <v>1366</v>
      </c>
      <c r="D3" s="39" t="s">
        <v>3812</v>
      </c>
      <c r="E3" s="39" t="s">
        <v>3699</v>
      </c>
      <c r="F3" s="39" t="s">
        <v>64</v>
      </c>
      <c r="G3" s="39" t="s">
        <v>3814</v>
      </c>
      <c r="H3" s="39" t="s">
        <v>3814</v>
      </c>
      <c r="L3" s="2" t="s">
        <v>66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0.0</v>
      </c>
      <c r="Y3" s="39">
        <v>0.0</v>
      </c>
      <c r="AC3" s="39">
        <v>500.0</v>
      </c>
      <c r="AE3" s="39">
        <v>1.0</v>
      </c>
    </row>
    <row r="4">
      <c r="A4" s="39" t="s">
        <v>3815</v>
      </c>
      <c r="B4" s="39" t="s">
        <v>3741</v>
      </c>
      <c r="C4" s="39" t="s">
        <v>3742</v>
      </c>
      <c r="D4" s="39" t="s">
        <v>3812</v>
      </c>
      <c r="E4" s="39" t="s">
        <v>3699</v>
      </c>
      <c r="F4" s="39" t="s">
        <v>64</v>
      </c>
      <c r="G4" s="39" t="s">
        <v>3816</v>
      </c>
      <c r="H4" s="39" t="s">
        <v>3816</v>
      </c>
      <c r="L4" s="30" t="s">
        <v>1685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0.0</v>
      </c>
      <c r="X4" s="39">
        <v>0.0</v>
      </c>
      <c r="Y4" s="39">
        <v>0.0</v>
      </c>
      <c r="AC4" s="39">
        <v>205.0</v>
      </c>
      <c r="AE4" s="39">
        <v>1.0</v>
      </c>
    </row>
    <row r="5">
      <c r="A5" s="39" t="s">
        <v>3817</v>
      </c>
      <c r="B5" s="39" t="s">
        <v>3741</v>
      </c>
      <c r="C5" s="39" t="s">
        <v>3742</v>
      </c>
      <c r="D5" s="39" t="s">
        <v>3812</v>
      </c>
      <c r="E5" s="39" t="s">
        <v>3699</v>
      </c>
      <c r="F5" s="39" t="s">
        <v>64</v>
      </c>
      <c r="G5" s="39" t="s">
        <v>3818</v>
      </c>
      <c r="H5" s="39" t="s">
        <v>3818</v>
      </c>
      <c r="L5" s="30" t="s">
        <v>1685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1.0</v>
      </c>
      <c r="W5" s="39">
        <v>0.0</v>
      </c>
      <c r="X5" s="39">
        <v>0.0</v>
      </c>
      <c r="Y5" s="39">
        <v>0.0</v>
      </c>
      <c r="AC5" s="39">
        <v>225.0</v>
      </c>
      <c r="AE5" s="39">
        <v>1.0</v>
      </c>
    </row>
    <row r="6">
      <c r="A6" s="39" t="s">
        <v>3768</v>
      </c>
      <c r="D6" s="39" t="s">
        <v>3812</v>
      </c>
      <c r="E6" s="39" t="s">
        <v>3699</v>
      </c>
      <c r="F6" s="39" t="s">
        <v>64</v>
      </c>
      <c r="G6" s="39" t="s">
        <v>3769</v>
      </c>
      <c r="H6" s="39" t="s">
        <v>3769</v>
      </c>
      <c r="L6" s="39" t="s">
        <v>102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300.0</v>
      </c>
      <c r="AE6" s="39">
        <v>1.0</v>
      </c>
    </row>
    <row r="7">
      <c r="A7" s="39" t="s">
        <v>3770</v>
      </c>
      <c r="D7" s="39" t="s">
        <v>3812</v>
      </c>
      <c r="E7" s="39" t="s">
        <v>3699</v>
      </c>
      <c r="F7" s="39" t="s">
        <v>64</v>
      </c>
      <c r="G7" s="39" t="s">
        <v>3819</v>
      </c>
      <c r="H7" s="39" t="s">
        <v>3819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315.0</v>
      </c>
      <c r="AE7" s="39">
        <v>1.0</v>
      </c>
    </row>
    <row r="8">
      <c r="A8" s="39" t="s">
        <v>3772</v>
      </c>
      <c r="D8" s="39" t="s">
        <v>3812</v>
      </c>
      <c r="E8" s="39" t="s">
        <v>3699</v>
      </c>
      <c r="F8" s="39" t="s">
        <v>64</v>
      </c>
      <c r="G8" s="39" t="s">
        <v>3773</v>
      </c>
      <c r="H8" s="39" t="s">
        <v>3773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350.0</v>
      </c>
      <c r="AE8" s="39">
        <v>1.0</v>
      </c>
    </row>
    <row r="9">
      <c r="A9" s="39" t="s">
        <v>3774</v>
      </c>
      <c r="D9" s="39" t="s">
        <v>3812</v>
      </c>
      <c r="E9" s="39" t="s">
        <v>3699</v>
      </c>
      <c r="F9" s="39" t="s">
        <v>64</v>
      </c>
      <c r="G9" s="39" t="s">
        <v>3820</v>
      </c>
      <c r="H9" s="39" t="s">
        <v>3820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450.0</v>
      </c>
      <c r="AE9" s="39">
        <v>1.0</v>
      </c>
    </row>
    <row r="10">
      <c r="A10" s="39" t="s">
        <v>3776</v>
      </c>
      <c r="D10" s="39" t="s">
        <v>3812</v>
      </c>
      <c r="E10" s="39" t="s">
        <v>3699</v>
      </c>
      <c r="F10" s="39" t="s">
        <v>64</v>
      </c>
      <c r="G10" s="39" t="s">
        <v>3821</v>
      </c>
      <c r="H10" s="39" t="s">
        <v>3821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1500.0</v>
      </c>
      <c r="AE10" s="39">
        <v>1.0</v>
      </c>
    </row>
    <row r="11">
      <c r="A11" s="39" t="s">
        <v>3778</v>
      </c>
      <c r="D11" s="39" t="s">
        <v>3812</v>
      </c>
      <c r="E11" s="39" t="s">
        <v>3699</v>
      </c>
      <c r="F11" s="39" t="s">
        <v>64</v>
      </c>
      <c r="G11" s="39" t="s">
        <v>3822</v>
      </c>
      <c r="H11" s="39" t="s">
        <v>3822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2000.0</v>
      </c>
      <c r="AE11" s="39">
        <v>1.0</v>
      </c>
    </row>
    <row r="12">
      <c r="A12" s="39" t="s">
        <v>3823</v>
      </c>
      <c r="B12" s="39" t="s">
        <v>3824</v>
      </c>
      <c r="C12" s="39" t="s">
        <v>3726</v>
      </c>
      <c r="D12" s="39" t="s">
        <v>3812</v>
      </c>
      <c r="E12" s="39" t="s">
        <v>3699</v>
      </c>
      <c r="F12" s="39" t="s">
        <v>64</v>
      </c>
      <c r="G12" s="39" t="s">
        <v>3825</v>
      </c>
      <c r="H12" s="39" t="s">
        <v>3825</v>
      </c>
      <c r="L12" s="2" t="s">
        <v>66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1.0</v>
      </c>
      <c r="W12" s="39">
        <v>0.0</v>
      </c>
      <c r="X12" s="39">
        <v>0.0</v>
      </c>
      <c r="Y12" s="39">
        <v>1.0</v>
      </c>
      <c r="Z12" s="30" t="s">
        <v>1100</v>
      </c>
      <c r="AA12" s="30" t="s">
        <v>97</v>
      </c>
      <c r="AC12" s="39">
        <v>2000.0</v>
      </c>
      <c r="AE12" s="39">
        <v>1.0</v>
      </c>
    </row>
    <row r="13">
      <c r="A13" s="39" t="s">
        <v>3826</v>
      </c>
      <c r="B13" s="39" t="s">
        <v>3824</v>
      </c>
      <c r="C13" s="39" t="s">
        <v>3726</v>
      </c>
      <c r="D13" s="39" t="s">
        <v>3812</v>
      </c>
      <c r="E13" s="39" t="s">
        <v>3699</v>
      </c>
      <c r="F13" s="39" t="s">
        <v>64</v>
      </c>
      <c r="G13" s="39" t="s">
        <v>657</v>
      </c>
      <c r="L13" s="2" t="s">
        <v>66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1560.0</v>
      </c>
      <c r="AE13" s="39">
        <v>1.0</v>
      </c>
    </row>
    <row r="14">
      <c r="A14" s="39" t="s">
        <v>3827</v>
      </c>
      <c r="B14" s="39" t="s">
        <v>3824</v>
      </c>
      <c r="C14" s="39" t="s">
        <v>3726</v>
      </c>
      <c r="D14" s="39" t="s">
        <v>3812</v>
      </c>
      <c r="E14" s="39" t="s">
        <v>3699</v>
      </c>
      <c r="F14" s="39" t="s">
        <v>64</v>
      </c>
      <c r="G14" s="39" t="s">
        <v>662</v>
      </c>
      <c r="L14" s="2" t="s">
        <v>66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AE14" s="39">
        <v>1.0</v>
      </c>
    </row>
    <row r="15">
      <c r="A15" s="39" t="s">
        <v>3783</v>
      </c>
      <c r="D15" s="39" t="s">
        <v>3812</v>
      </c>
      <c r="E15" s="39" t="s">
        <v>3699</v>
      </c>
      <c r="F15" s="39" t="s">
        <v>64</v>
      </c>
      <c r="G15" s="39" t="s">
        <v>3828</v>
      </c>
      <c r="H15" s="39" t="s">
        <v>3828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350.0</v>
      </c>
      <c r="AE15" s="39"/>
    </row>
    <row r="16">
      <c r="A16" s="39" t="s">
        <v>3785</v>
      </c>
      <c r="D16" s="39" t="s">
        <v>3812</v>
      </c>
      <c r="E16" s="39" t="s">
        <v>3699</v>
      </c>
      <c r="F16" s="39" t="s">
        <v>64</v>
      </c>
      <c r="G16" s="39" t="s">
        <v>3829</v>
      </c>
      <c r="H16" s="39" t="s">
        <v>3829</v>
      </c>
      <c r="L16" s="39" t="s">
        <v>102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450.0</v>
      </c>
      <c r="AE16" s="39"/>
    </row>
    <row r="17">
      <c r="A17" s="39" t="s">
        <v>3787</v>
      </c>
      <c r="D17" s="39" t="s">
        <v>3812</v>
      </c>
      <c r="E17" s="39" t="s">
        <v>3699</v>
      </c>
      <c r="F17" s="39" t="s">
        <v>64</v>
      </c>
      <c r="G17" s="39" t="s">
        <v>3830</v>
      </c>
      <c r="H17" s="39" t="s">
        <v>3830</v>
      </c>
      <c r="L17" s="39" t="s">
        <v>102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0.0</v>
      </c>
      <c r="X17" s="39">
        <v>0.0</v>
      </c>
      <c r="Y17" s="39">
        <v>0.0</v>
      </c>
      <c r="AC17" s="39">
        <v>1500.0</v>
      </c>
      <c r="AE17" s="39">
        <v>1.0</v>
      </c>
    </row>
    <row r="18">
      <c r="A18" s="39" t="s">
        <v>3789</v>
      </c>
      <c r="D18" s="39" t="s">
        <v>3812</v>
      </c>
      <c r="E18" s="39" t="s">
        <v>3699</v>
      </c>
      <c r="F18" s="39" t="s">
        <v>64</v>
      </c>
      <c r="G18" s="39" t="s">
        <v>3831</v>
      </c>
      <c r="H18" s="39" t="s">
        <v>3831</v>
      </c>
      <c r="L18" s="39" t="s">
        <v>102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AC18" s="39">
        <v>2000.0</v>
      </c>
      <c r="AE18" s="39">
        <v>1.0</v>
      </c>
    </row>
    <row r="19">
      <c r="A19" s="39" t="s">
        <v>3791</v>
      </c>
      <c r="D19" s="39" t="s">
        <v>3812</v>
      </c>
      <c r="E19" s="39" t="s">
        <v>3699</v>
      </c>
      <c r="F19" s="39" t="s">
        <v>64</v>
      </c>
      <c r="G19" s="39" t="s">
        <v>3832</v>
      </c>
      <c r="H19" s="39" t="s">
        <v>3832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2000.0</v>
      </c>
      <c r="AE19" s="39">
        <v>1.0</v>
      </c>
    </row>
    <row r="20">
      <c r="A20" s="39" t="s">
        <v>3793</v>
      </c>
      <c r="D20" s="39" t="s">
        <v>3812</v>
      </c>
      <c r="E20" s="39" t="s">
        <v>3699</v>
      </c>
      <c r="F20" s="39" t="s">
        <v>64</v>
      </c>
      <c r="G20" s="39" t="s">
        <v>3238</v>
      </c>
      <c r="H20" s="39" t="s">
        <v>3238</v>
      </c>
      <c r="L20" s="39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300.0</v>
      </c>
      <c r="AE20" s="39">
        <v>1.0</v>
      </c>
    </row>
    <row r="21">
      <c r="A21" s="39" t="s">
        <v>3795</v>
      </c>
      <c r="D21" s="39" t="s">
        <v>3812</v>
      </c>
      <c r="E21" s="39" t="s">
        <v>3699</v>
      </c>
      <c r="F21" s="39" t="s">
        <v>64</v>
      </c>
      <c r="G21" s="39" t="s">
        <v>3833</v>
      </c>
      <c r="H21" s="39" t="s">
        <v>3833</v>
      </c>
      <c r="L21" s="39" t="s">
        <v>102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600.0</v>
      </c>
      <c r="AE21" s="39">
        <v>1.0</v>
      </c>
    </row>
    <row r="22">
      <c r="A22" s="39" t="s">
        <v>3797</v>
      </c>
      <c r="D22" s="39" t="s">
        <v>3812</v>
      </c>
      <c r="E22" s="39" t="s">
        <v>3699</v>
      </c>
      <c r="F22" s="39" t="s">
        <v>64</v>
      </c>
      <c r="G22" s="39" t="s">
        <v>3834</v>
      </c>
      <c r="H22" s="39" t="s">
        <v>3834</v>
      </c>
      <c r="L22" s="39" t="s">
        <v>102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1500.0</v>
      </c>
      <c r="AE22" s="39">
        <v>1.0</v>
      </c>
    </row>
    <row r="23">
      <c r="A23" s="39" t="s">
        <v>3799</v>
      </c>
      <c r="D23" s="39" t="s">
        <v>3812</v>
      </c>
      <c r="E23" s="39" t="s">
        <v>3699</v>
      </c>
      <c r="F23" s="39" t="s">
        <v>64</v>
      </c>
      <c r="G23" s="39" t="s">
        <v>3835</v>
      </c>
      <c r="H23" s="39" t="s">
        <v>3835</v>
      </c>
      <c r="L23" s="39" t="s">
        <v>102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1500.0</v>
      </c>
      <c r="AE23" s="39">
        <v>1.0</v>
      </c>
    </row>
    <row r="24">
      <c r="A24" s="39" t="s">
        <v>3801</v>
      </c>
      <c r="D24" s="39" t="s">
        <v>3812</v>
      </c>
      <c r="E24" s="39" t="s">
        <v>3699</v>
      </c>
      <c r="F24" s="39" t="s">
        <v>64</v>
      </c>
      <c r="G24" s="39" t="s">
        <v>2090</v>
      </c>
      <c r="H24" s="39" t="s">
        <v>2090</v>
      </c>
      <c r="L24" s="39" t="s">
        <v>102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500.0</v>
      </c>
      <c r="AE24" s="39">
        <v>1.0</v>
      </c>
    </row>
    <row r="25">
      <c r="A25" s="39" t="s">
        <v>3802</v>
      </c>
      <c r="D25" s="39" t="s">
        <v>3812</v>
      </c>
      <c r="E25" s="39" t="s">
        <v>3699</v>
      </c>
      <c r="F25" s="39" t="s">
        <v>64</v>
      </c>
      <c r="G25" s="39" t="s">
        <v>3836</v>
      </c>
      <c r="H25" s="39" t="s">
        <v>3836</v>
      </c>
      <c r="L25" s="39" t="s">
        <v>102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1000.0</v>
      </c>
      <c r="AE25" s="39">
        <v>1.0</v>
      </c>
    </row>
    <row r="26">
      <c r="A26" s="39" t="s">
        <v>3804</v>
      </c>
      <c r="D26" s="39" t="s">
        <v>3812</v>
      </c>
      <c r="E26" s="39" t="s">
        <v>3699</v>
      </c>
      <c r="F26" s="39" t="s">
        <v>64</v>
      </c>
      <c r="G26" s="39" t="s">
        <v>3837</v>
      </c>
      <c r="H26" s="39" t="s">
        <v>3837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1000.0</v>
      </c>
      <c r="AE26" s="39">
        <v>1.0</v>
      </c>
    </row>
    <row r="27">
      <c r="A27" s="39" t="s">
        <v>3806</v>
      </c>
      <c r="D27" s="39" t="s">
        <v>3812</v>
      </c>
      <c r="E27" s="39" t="s">
        <v>3699</v>
      </c>
      <c r="F27" s="39" t="s">
        <v>64</v>
      </c>
      <c r="G27" s="39" t="s">
        <v>3807</v>
      </c>
      <c r="H27" s="39" t="s">
        <v>3807</v>
      </c>
      <c r="L27" s="39" t="s">
        <v>102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1.0</v>
      </c>
      <c r="V27" s="39">
        <v>0.0</v>
      </c>
      <c r="W27" s="39">
        <v>0.0</v>
      </c>
      <c r="X27" s="39">
        <v>0.0</v>
      </c>
      <c r="Y27" s="39">
        <v>0.0</v>
      </c>
      <c r="AC27" s="39">
        <v>1200.0</v>
      </c>
      <c r="AE27" s="39">
        <v>1.0</v>
      </c>
    </row>
    <row r="28">
      <c r="A28" s="39" t="s">
        <v>3808</v>
      </c>
      <c r="B28" s="39" t="s">
        <v>3697</v>
      </c>
      <c r="C28" s="39" t="s">
        <v>3698</v>
      </c>
      <c r="D28" s="39" t="s">
        <v>3812</v>
      </c>
      <c r="E28" s="39" t="s">
        <v>3699</v>
      </c>
      <c r="F28" s="39" t="s">
        <v>64</v>
      </c>
      <c r="G28" s="39" t="s">
        <v>3838</v>
      </c>
      <c r="H28" s="39" t="s">
        <v>3838</v>
      </c>
      <c r="L28" s="2" t="s">
        <v>66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V28" s="39">
        <v>1.0</v>
      </c>
      <c r="W28" s="39">
        <v>0.0</v>
      </c>
      <c r="X28" s="39">
        <v>0.0</v>
      </c>
      <c r="Y28" s="39">
        <v>1.0</v>
      </c>
      <c r="Z28" s="30" t="s">
        <v>1100</v>
      </c>
      <c r="AA28" s="30" t="s">
        <v>97</v>
      </c>
      <c r="AC28" s="39">
        <v>600.0</v>
      </c>
      <c r="AE28" s="39">
        <v>1.0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3812</v>
      </c>
      <c r="B2" s="39" t="s">
        <v>3699</v>
      </c>
      <c r="C2" s="39" t="s">
        <v>64</v>
      </c>
      <c r="H2" s="39">
        <v>65.0</v>
      </c>
      <c r="O2" s="39" t="s">
        <v>3815</v>
      </c>
    </row>
    <row r="3">
      <c r="A3" s="39" t="s">
        <v>3812</v>
      </c>
      <c r="B3" s="39" t="s">
        <v>3699</v>
      </c>
      <c r="C3" s="39" t="s">
        <v>64</v>
      </c>
      <c r="H3" s="39">
        <v>85.0</v>
      </c>
      <c r="O3" s="39" t="s">
        <v>3770</v>
      </c>
    </row>
    <row r="4">
      <c r="A4" s="39" t="s">
        <v>3812</v>
      </c>
      <c r="B4" s="39" t="s">
        <v>3699</v>
      </c>
      <c r="C4" s="39" t="s">
        <v>64</v>
      </c>
      <c r="H4" s="39">
        <v>80.0</v>
      </c>
      <c r="O4" s="39" t="s">
        <v>3772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39" t="s">
        <v>377</v>
      </c>
      <c r="B1" s="39" t="s">
        <v>378</v>
      </c>
    </row>
    <row r="2">
      <c r="A2" s="39" t="s">
        <v>3839</v>
      </c>
      <c r="B2" s="39" t="s">
        <v>3811</v>
      </c>
    </row>
    <row r="3">
      <c r="A3" s="39" t="s">
        <v>3757</v>
      </c>
      <c r="B3" s="39" t="s">
        <v>3768</v>
      </c>
    </row>
    <row r="4">
      <c r="A4" s="39" t="s">
        <v>3840</v>
      </c>
      <c r="B4" s="39" t="s">
        <v>3774</v>
      </c>
    </row>
    <row r="5">
      <c r="A5" s="39" t="s">
        <v>3841</v>
      </c>
      <c r="B5" s="39" t="s">
        <v>3778</v>
      </c>
    </row>
    <row r="6">
      <c r="A6" s="39" t="s">
        <v>3842</v>
      </c>
      <c r="B6" s="39" t="s">
        <v>3782</v>
      </c>
    </row>
    <row r="7">
      <c r="A7" s="39" t="s">
        <v>3843</v>
      </c>
      <c r="B7" s="39" t="s">
        <v>3787</v>
      </c>
    </row>
    <row r="8">
      <c r="A8" s="39" t="s">
        <v>3844</v>
      </c>
      <c r="B8" s="39" t="s">
        <v>3795</v>
      </c>
    </row>
    <row r="9">
      <c r="A9" s="39" t="s">
        <v>3845</v>
      </c>
      <c r="B9" s="39" t="s">
        <v>3801</v>
      </c>
    </row>
    <row r="10">
      <c r="A10" s="39" t="s">
        <v>3846</v>
      </c>
      <c r="B10" s="39" t="s">
        <v>3806</v>
      </c>
    </row>
    <row r="11">
      <c r="A11" s="39" t="s">
        <v>3847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3696</v>
      </c>
      <c r="B2" s="39" t="s">
        <v>3697</v>
      </c>
      <c r="C2" s="39" t="s">
        <v>3698</v>
      </c>
      <c r="D2" s="39" t="s">
        <v>3848</v>
      </c>
      <c r="E2" s="39" t="s">
        <v>3748</v>
      </c>
      <c r="F2" s="39" t="s">
        <v>397</v>
      </c>
      <c r="G2" s="39" t="s">
        <v>657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AE2" s="39">
        <v>1.0</v>
      </c>
    </row>
    <row r="3">
      <c r="A3" s="39" t="s">
        <v>3700</v>
      </c>
      <c r="B3" s="39" t="s">
        <v>3697</v>
      </c>
      <c r="C3" s="39" t="s">
        <v>3698</v>
      </c>
      <c r="D3" s="39" t="s">
        <v>3848</v>
      </c>
      <c r="E3" s="39" t="s">
        <v>3748</v>
      </c>
      <c r="F3" s="39" t="s">
        <v>397</v>
      </c>
      <c r="G3" s="39" t="s">
        <v>662</v>
      </c>
      <c r="L3" s="2" t="s">
        <v>66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1.0</v>
      </c>
      <c r="W3" s="39">
        <v>0.0</v>
      </c>
      <c r="X3" s="39">
        <v>0.0</v>
      </c>
      <c r="Y3" s="39">
        <v>0.0</v>
      </c>
      <c r="AE3" s="39">
        <v>1.0</v>
      </c>
    </row>
    <row r="4">
      <c r="A4" s="39" t="s">
        <v>3701</v>
      </c>
      <c r="D4" s="39" t="s">
        <v>3848</v>
      </c>
      <c r="E4" s="39" t="s">
        <v>3748</v>
      </c>
      <c r="F4" s="39" t="s">
        <v>397</v>
      </c>
      <c r="G4" s="39" t="s">
        <v>3849</v>
      </c>
      <c r="H4" s="39" t="s">
        <v>3849</v>
      </c>
      <c r="L4" s="39" t="s">
        <v>102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39">
        <v>300.0</v>
      </c>
      <c r="AE4" s="39">
        <v>1.0</v>
      </c>
    </row>
    <row r="5">
      <c r="A5" s="39" t="s">
        <v>3702</v>
      </c>
      <c r="D5" s="39" t="s">
        <v>3848</v>
      </c>
      <c r="E5" s="39" t="s">
        <v>3748</v>
      </c>
      <c r="F5" s="39" t="s">
        <v>397</v>
      </c>
      <c r="G5" s="39" t="s">
        <v>3703</v>
      </c>
      <c r="H5" s="39" t="s">
        <v>3703</v>
      </c>
      <c r="L5" s="39" t="s">
        <v>102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39">
        <v>250.0</v>
      </c>
      <c r="AE5" s="39">
        <v>1.0</v>
      </c>
    </row>
    <row r="6">
      <c r="A6" s="39" t="s">
        <v>3704</v>
      </c>
      <c r="D6" s="39" t="s">
        <v>3848</v>
      </c>
      <c r="E6" s="39" t="s">
        <v>3748</v>
      </c>
      <c r="F6" s="39" t="s">
        <v>397</v>
      </c>
      <c r="G6" s="39" t="s">
        <v>3850</v>
      </c>
      <c r="H6" s="39" t="s">
        <v>3850</v>
      </c>
      <c r="L6" s="39" t="s">
        <v>102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39">
        <v>700.0</v>
      </c>
      <c r="AE6" s="39">
        <v>1.0</v>
      </c>
    </row>
    <row r="7">
      <c r="A7" s="39" t="s">
        <v>3706</v>
      </c>
      <c r="D7" s="39" t="s">
        <v>3848</v>
      </c>
      <c r="E7" s="39" t="s">
        <v>3748</v>
      </c>
      <c r="F7" s="39" t="s">
        <v>397</v>
      </c>
      <c r="G7" s="39" t="s">
        <v>3851</v>
      </c>
      <c r="H7" s="39" t="s">
        <v>3851</v>
      </c>
      <c r="L7" s="39" t="s">
        <v>102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39">
        <v>1000.0</v>
      </c>
      <c r="AE7" s="39">
        <v>1.0</v>
      </c>
    </row>
    <row r="8">
      <c r="A8" s="39" t="s">
        <v>3708</v>
      </c>
      <c r="D8" s="39" t="s">
        <v>3848</v>
      </c>
      <c r="E8" s="39" t="s">
        <v>3748</v>
      </c>
      <c r="F8" s="39" t="s">
        <v>397</v>
      </c>
      <c r="G8" s="39" t="s">
        <v>3852</v>
      </c>
      <c r="H8" s="39" t="s">
        <v>3852</v>
      </c>
      <c r="L8" s="39" t="s">
        <v>102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39">
        <v>700.0</v>
      </c>
      <c r="AE8" s="39">
        <v>1.0</v>
      </c>
    </row>
    <row r="9">
      <c r="A9" s="39" t="s">
        <v>3710</v>
      </c>
      <c r="D9" s="39" t="s">
        <v>3848</v>
      </c>
      <c r="E9" s="39" t="s">
        <v>3748</v>
      </c>
      <c r="F9" s="39" t="s">
        <v>397</v>
      </c>
      <c r="G9" s="39" t="s">
        <v>3853</v>
      </c>
      <c r="H9" s="39" t="s">
        <v>3853</v>
      </c>
      <c r="L9" s="39" t="s">
        <v>102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39">
        <v>1500.0</v>
      </c>
      <c r="AE9" s="39">
        <v>1.0</v>
      </c>
    </row>
    <row r="10">
      <c r="A10" s="39" t="s">
        <v>3712</v>
      </c>
      <c r="D10" s="39" t="s">
        <v>3848</v>
      </c>
      <c r="E10" s="39" t="s">
        <v>3748</v>
      </c>
      <c r="F10" s="39" t="s">
        <v>397</v>
      </c>
      <c r="G10" s="39" t="s">
        <v>3713</v>
      </c>
      <c r="H10" s="39" t="s">
        <v>3713</v>
      </c>
      <c r="L10" s="39" t="s">
        <v>102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AC10" s="39">
        <v>500.0</v>
      </c>
      <c r="AE10" s="39">
        <v>1.0</v>
      </c>
    </row>
    <row r="11">
      <c r="A11" s="39" t="s">
        <v>3714</v>
      </c>
      <c r="D11" s="39" t="s">
        <v>3848</v>
      </c>
      <c r="E11" s="39" t="s">
        <v>3748</v>
      </c>
      <c r="F11" s="39" t="s">
        <v>397</v>
      </c>
      <c r="G11" s="39" t="s">
        <v>3715</v>
      </c>
      <c r="H11" s="39" t="s">
        <v>3715</v>
      </c>
      <c r="L11" s="39" t="s">
        <v>102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AC11" s="39">
        <v>1000.0</v>
      </c>
      <c r="AE11" s="39">
        <v>1.0</v>
      </c>
    </row>
    <row r="12">
      <c r="A12" s="39" t="s">
        <v>3716</v>
      </c>
      <c r="D12" s="39" t="s">
        <v>3848</v>
      </c>
      <c r="E12" s="39" t="s">
        <v>3748</v>
      </c>
      <c r="F12" s="39" t="s">
        <v>397</v>
      </c>
      <c r="G12" s="39" t="s">
        <v>3854</v>
      </c>
      <c r="H12" s="39" t="s">
        <v>3854</v>
      </c>
      <c r="L12" s="39" t="s">
        <v>102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AC12" s="39">
        <v>800.0</v>
      </c>
      <c r="AE12" s="39">
        <v>1.0</v>
      </c>
    </row>
    <row r="13">
      <c r="A13" s="39" t="s">
        <v>3718</v>
      </c>
      <c r="D13" s="39" t="s">
        <v>3848</v>
      </c>
      <c r="E13" s="39" t="s">
        <v>3748</v>
      </c>
      <c r="F13" s="39" t="s">
        <v>397</v>
      </c>
      <c r="G13" s="39" t="s">
        <v>3855</v>
      </c>
      <c r="H13" s="39" t="s">
        <v>3855</v>
      </c>
      <c r="L13" s="39" t="s">
        <v>102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AC13" s="39">
        <v>800.0</v>
      </c>
      <c r="AE13" s="39">
        <v>1.0</v>
      </c>
    </row>
    <row r="14">
      <c r="A14" s="39" t="s">
        <v>3720</v>
      </c>
      <c r="D14" s="39" t="s">
        <v>3848</v>
      </c>
      <c r="E14" s="39" t="s">
        <v>3748</v>
      </c>
      <c r="F14" s="39" t="s">
        <v>397</v>
      </c>
      <c r="G14" s="39" t="s">
        <v>3856</v>
      </c>
      <c r="H14" s="39" t="s">
        <v>3856</v>
      </c>
      <c r="L14" s="39" t="s">
        <v>102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AC14" s="39">
        <v>300.0</v>
      </c>
      <c r="AE14" s="39">
        <v>1.0</v>
      </c>
    </row>
    <row r="15">
      <c r="A15" s="39" t="s">
        <v>3722</v>
      </c>
      <c r="D15" s="39" t="s">
        <v>3848</v>
      </c>
      <c r="E15" s="39" t="s">
        <v>3748</v>
      </c>
      <c r="F15" s="39" t="s">
        <v>397</v>
      </c>
      <c r="G15" s="39" t="s">
        <v>3857</v>
      </c>
      <c r="H15" s="39" t="s">
        <v>3857</v>
      </c>
      <c r="L15" s="39" t="s">
        <v>102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C15" s="39">
        <v>500.0</v>
      </c>
      <c r="AE15" s="39">
        <v>1.0</v>
      </c>
    </row>
    <row r="16">
      <c r="A16" s="39" t="s">
        <v>3724</v>
      </c>
      <c r="B16" s="39" t="s">
        <v>3725</v>
      </c>
      <c r="C16" s="39" t="s">
        <v>3726</v>
      </c>
      <c r="D16" s="39" t="s">
        <v>3848</v>
      </c>
      <c r="E16" s="39" t="s">
        <v>3748</v>
      </c>
      <c r="F16" s="39" t="s">
        <v>397</v>
      </c>
      <c r="G16" s="39" t="s">
        <v>3858</v>
      </c>
      <c r="H16" s="39" t="s">
        <v>3858</v>
      </c>
      <c r="L16" s="2" t="s">
        <v>66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AC16" s="39">
        <v>1500.0</v>
      </c>
      <c r="AE16" s="39">
        <v>1.0</v>
      </c>
    </row>
    <row r="17">
      <c r="A17" s="39" t="s">
        <v>3728</v>
      </c>
      <c r="B17" s="39" t="s">
        <v>3725</v>
      </c>
      <c r="C17" s="39" t="s">
        <v>3726</v>
      </c>
      <c r="D17" s="39" t="s">
        <v>3848</v>
      </c>
      <c r="E17" s="39" t="s">
        <v>3748</v>
      </c>
      <c r="F17" s="39" t="s">
        <v>397</v>
      </c>
      <c r="G17" s="39" t="s">
        <v>662</v>
      </c>
      <c r="L17" s="2" t="s">
        <v>66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>
        <v>0.0</v>
      </c>
      <c r="V17" s="39">
        <v>0.0</v>
      </c>
      <c r="W17" s="39">
        <v>1.0</v>
      </c>
      <c r="X17" s="39">
        <v>0.0</v>
      </c>
      <c r="Y17" s="39">
        <v>0.0</v>
      </c>
      <c r="AC17" s="39">
        <v>400.0</v>
      </c>
      <c r="AE17" s="39">
        <v>1.0</v>
      </c>
    </row>
    <row r="18">
      <c r="A18" s="39" t="s">
        <v>3729</v>
      </c>
      <c r="B18" s="39" t="s">
        <v>3725</v>
      </c>
      <c r="C18" s="39" t="s">
        <v>3726</v>
      </c>
      <c r="D18" s="39" t="s">
        <v>3848</v>
      </c>
      <c r="E18" s="39" t="s">
        <v>3748</v>
      </c>
      <c r="F18" s="39" t="s">
        <v>397</v>
      </c>
      <c r="G18" s="39" t="s">
        <v>657</v>
      </c>
      <c r="L18" s="2" t="s">
        <v>66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1.0</v>
      </c>
      <c r="W18" s="39">
        <v>1.0</v>
      </c>
      <c r="X18" s="39">
        <v>0.0</v>
      </c>
      <c r="Y18" s="39">
        <v>0.0</v>
      </c>
      <c r="AC18" s="39">
        <v>1000.0</v>
      </c>
      <c r="AE18" s="39">
        <v>1.0</v>
      </c>
    </row>
    <row r="19">
      <c r="A19" s="39" t="s">
        <v>3730</v>
      </c>
      <c r="D19" s="39" t="s">
        <v>3848</v>
      </c>
      <c r="E19" s="39" t="s">
        <v>3748</v>
      </c>
      <c r="F19" s="39" t="s">
        <v>397</v>
      </c>
      <c r="G19" s="39" t="s">
        <v>3731</v>
      </c>
      <c r="H19" s="39" t="s">
        <v>3731</v>
      </c>
      <c r="L19" s="39" t="s">
        <v>102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AC19" s="39">
        <v>1000.0</v>
      </c>
      <c r="AE19" s="39">
        <v>1.0</v>
      </c>
    </row>
    <row r="20">
      <c r="A20" s="39" t="s">
        <v>3732</v>
      </c>
      <c r="D20" s="39" t="s">
        <v>3848</v>
      </c>
      <c r="E20" s="39" t="s">
        <v>3748</v>
      </c>
      <c r="F20" s="39" t="s">
        <v>397</v>
      </c>
      <c r="G20" s="39" t="s">
        <v>3733</v>
      </c>
      <c r="H20" s="39" t="s">
        <v>3733</v>
      </c>
      <c r="L20" s="39" t="s">
        <v>102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AC20" s="39">
        <v>600.0</v>
      </c>
      <c r="AE20" s="39">
        <v>1.0</v>
      </c>
    </row>
    <row r="21">
      <c r="A21" s="39" t="s">
        <v>3734</v>
      </c>
      <c r="D21" s="39" t="s">
        <v>3848</v>
      </c>
      <c r="E21" s="39" t="s">
        <v>3748</v>
      </c>
      <c r="F21" s="39" t="s">
        <v>397</v>
      </c>
      <c r="G21" s="39" t="s">
        <v>3859</v>
      </c>
      <c r="H21" s="39" t="s">
        <v>3859</v>
      </c>
      <c r="L21" s="39" t="s">
        <v>102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AC21" s="39">
        <v>800.0</v>
      </c>
      <c r="AE21" s="39">
        <v>1.0</v>
      </c>
    </row>
    <row r="22">
      <c r="A22" s="39" t="s">
        <v>3735</v>
      </c>
      <c r="D22" s="39" t="s">
        <v>3848</v>
      </c>
      <c r="E22" s="39" t="s">
        <v>3748</v>
      </c>
      <c r="F22" s="39" t="s">
        <v>397</v>
      </c>
      <c r="G22" s="39" t="s">
        <v>3736</v>
      </c>
      <c r="H22" s="39" t="s">
        <v>3736</v>
      </c>
      <c r="L22" s="39" t="s">
        <v>102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AC22" s="39">
        <v>500.0</v>
      </c>
      <c r="AE22" s="39">
        <v>1.0</v>
      </c>
    </row>
    <row r="23">
      <c r="A23" s="39" t="s">
        <v>3737</v>
      </c>
      <c r="D23" s="39" t="s">
        <v>3848</v>
      </c>
      <c r="E23" s="39" t="s">
        <v>3748</v>
      </c>
      <c r="F23" s="39" t="s">
        <v>397</v>
      </c>
      <c r="G23" s="39" t="s">
        <v>3738</v>
      </c>
      <c r="H23" s="39" t="s">
        <v>3738</v>
      </c>
      <c r="L23" s="39" t="s">
        <v>102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205.0</v>
      </c>
      <c r="AE23" s="39">
        <v>1.0</v>
      </c>
    </row>
    <row r="24">
      <c r="A24" s="39" t="s">
        <v>3860</v>
      </c>
      <c r="D24" s="39" t="s">
        <v>3848</v>
      </c>
      <c r="E24" s="39" t="s">
        <v>3748</v>
      </c>
      <c r="F24" s="39" t="s">
        <v>397</v>
      </c>
      <c r="G24" s="39" t="s">
        <v>3861</v>
      </c>
      <c r="H24" s="39" t="s">
        <v>3861</v>
      </c>
      <c r="L24" s="39" t="s">
        <v>102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600.0</v>
      </c>
      <c r="AE24" s="39">
        <v>1.0</v>
      </c>
    </row>
    <row r="25">
      <c r="A25" s="39" t="s">
        <v>3740</v>
      </c>
      <c r="B25" s="39" t="s">
        <v>3741</v>
      </c>
      <c r="C25" s="39" t="s">
        <v>3742</v>
      </c>
      <c r="D25" s="39" t="s">
        <v>3848</v>
      </c>
      <c r="E25" s="39" t="s">
        <v>3748</v>
      </c>
      <c r="F25" s="39" t="s">
        <v>397</v>
      </c>
      <c r="G25" s="39" t="s">
        <v>3743</v>
      </c>
      <c r="H25" s="39" t="s">
        <v>3743</v>
      </c>
      <c r="L25" s="2" t="s">
        <v>66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1.0</v>
      </c>
      <c r="W25" s="39">
        <v>0.0</v>
      </c>
      <c r="X25" s="39">
        <v>0.0</v>
      </c>
      <c r="Y25" s="39">
        <v>1.0</v>
      </c>
      <c r="Z25" s="30" t="s">
        <v>3744</v>
      </c>
      <c r="AA25" s="30" t="s">
        <v>97</v>
      </c>
      <c r="AC25" s="39">
        <v>600.0</v>
      </c>
      <c r="AE25" s="39">
        <v>1.0</v>
      </c>
    </row>
    <row r="26">
      <c r="A26" s="39" t="s">
        <v>3862</v>
      </c>
      <c r="D26" s="39" t="s">
        <v>3848</v>
      </c>
      <c r="E26" s="39" t="s">
        <v>3748</v>
      </c>
      <c r="F26" s="39" t="s">
        <v>397</v>
      </c>
      <c r="G26" s="39" t="s">
        <v>3863</v>
      </c>
      <c r="H26" s="39" t="s">
        <v>3863</v>
      </c>
      <c r="L26" s="39" t="s">
        <v>102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300.0</v>
      </c>
      <c r="AE26" s="39">
        <v>1.0</v>
      </c>
    </row>
    <row r="27">
      <c r="A27" s="39" t="s">
        <v>3864</v>
      </c>
      <c r="B27" s="39" t="s">
        <v>1365</v>
      </c>
      <c r="C27" s="39" t="s">
        <v>1366</v>
      </c>
      <c r="D27" s="39" t="s">
        <v>3848</v>
      </c>
      <c r="E27" s="39" t="s">
        <v>3748</v>
      </c>
      <c r="F27" s="39" t="s">
        <v>397</v>
      </c>
      <c r="G27" s="39" t="s">
        <v>1467</v>
      </c>
      <c r="H27" s="39" t="s">
        <v>1467</v>
      </c>
      <c r="L27" s="2" t="s">
        <v>66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AC27" s="39">
        <v>220.0</v>
      </c>
      <c r="AE27" s="39">
        <v>1.0</v>
      </c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19</v>
      </c>
      <c r="B2" s="39" t="s">
        <v>3748</v>
      </c>
      <c r="C2" s="39" t="s">
        <v>397</v>
      </c>
      <c r="H2" s="39">
        <v>40.0</v>
      </c>
      <c r="O2" s="39" t="s">
        <v>3701</v>
      </c>
    </row>
    <row r="3">
      <c r="A3" s="39" t="s">
        <v>19</v>
      </c>
      <c r="B3" s="39" t="s">
        <v>3748</v>
      </c>
      <c r="C3" s="39" t="s">
        <v>397</v>
      </c>
      <c r="H3" s="39">
        <v>70.0</v>
      </c>
      <c r="O3" s="39" t="s">
        <v>3734</v>
      </c>
    </row>
    <row r="4">
      <c r="A4" s="39" t="s">
        <v>19</v>
      </c>
      <c r="B4" s="39" t="s">
        <v>3748</v>
      </c>
      <c r="C4" s="39" t="s">
        <v>397</v>
      </c>
      <c r="H4" s="39">
        <v>80.0</v>
      </c>
      <c r="O4" s="39" t="s">
        <v>3737</v>
      </c>
    </row>
    <row r="5">
      <c r="A5" s="39" t="s">
        <v>19</v>
      </c>
      <c r="B5" s="39" t="s">
        <v>3748</v>
      </c>
      <c r="C5" s="39" t="s">
        <v>397</v>
      </c>
      <c r="H5" s="39">
        <v>85.0</v>
      </c>
      <c r="O5" s="39" t="s">
        <v>3740</v>
      </c>
    </row>
    <row r="6">
      <c r="A6" s="39" t="s">
        <v>19</v>
      </c>
      <c r="B6" s="39" t="s">
        <v>3748</v>
      </c>
      <c r="C6" s="39" t="s">
        <v>397</v>
      </c>
      <c r="H6" s="39">
        <v>65.0</v>
      </c>
      <c r="O6" s="39" t="s">
        <v>3862</v>
      </c>
    </row>
    <row r="7">
      <c r="A7" s="39" t="s">
        <v>19</v>
      </c>
      <c r="B7" s="39" t="s">
        <v>3748</v>
      </c>
      <c r="C7" s="39" t="s">
        <v>397</v>
      </c>
      <c r="H7" s="39">
        <v>50.0</v>
      </c>
      <c r="O7" s="39" t="s">
        <v>3865</v>
      </c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6" max="6" width="21.75"/>
  </cols>
  <sheetData>
    <row r="1">
      <c r="A1" s="39" t="s">
        <v>377</v>
      </c>
      <c r="B1" s="39" t="s">
        <v>378</v>
      </c>
    </row>
    <row r="2">
      <c r="A2" s="40" t="s">
        <v>3847</v>
      </c>
      <c r="B2" s="39" t="s">
        <v>3696</v>
      </c>
    </row>
    <row r="3">
      <c r="A3" s="40" t="s">
        <v>3846</v>
      </c>
      <c r="B3" s="39" t="s">
        <v>3702</v>
      </c>
    </row>
    <row r="4">
      <c r="A4" s="40" t="s">
        <v>3845</v>
      </c>
      <c r="B4" s="39" t="s">
        <v>3708</v>
      </c>
    </row>
    <row r="5">
      <c r="A5" s="40" t="s">
        <v>3844</v>
      </c>
      <c r="B5" s="39" t="s">
        <v>3714</v>
      </c>
    </row>
    <row r="6">
      <c r="A6" s="40" t="s">
        <v>3843</v>
      </c>
      <c r="B6" s="39" t="s">
        <v>3722</v>
      </c>
    </row>
    <row r="7">
      <c r="A7" s="40" t="s">
        <v>3842</v>
      </c>
      <c r="B7" s="39" t="s">
        <v>3728</v>
      </c>
    </row>
    <row r="8">
      <c r="A8" s="40" t="s">
        <v>3841</v>
      </c>
      <c r="B8" s="39" t="s">
        <v>3732</v>
      </c>
    </row>
    <row r="9">
      <c r="A9" s="40" t="s">
        <v>3840</v>
      </c>
      <c r="B9" s="39" t="s">
        <v>3735</v>
      </c>
    </row>
    <row r="10">
      <c r="A10" s="40" t="s">
        <v>3757</v>
      </c>
      <c r="B10" s="39" t="s">
        <v>3740</v>
      </c>
    </row>
    <row r="11">
      <c r="A11" s="40" t="s">
        <v>3839</v>
      </c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  <row r="2">
      <c r="A2" s="40" t="str">
        <f t="array" ref="A2:A17">SORT('Station DN TH'!A2:A17, ROW('Station DN TH'!A2:A17), FALSE)</f>
        <v>Kalyan (KYN) 53.21KM</v>
      </c>
      <c r="B2" s="39" t="s">
        <v>656</v>
      </c>
    </row>
    <row r="3">
      <c r="A3" s="40" t="s">
        <v>394</v>
      </c>
      <c r="B3" s="39" t="s">
        <v>434</v>
      </c>
    </row>
    <row r="4">
      <c r="A4" s="40" t="s">
        <v>393</v>
      </c>
      <c r="B4" s="39" t="s">
        <v>460</v>
      </c>
    </row>
    <row r="5">
      <c r="A5" s="40" t="s">
        <v>392</v>
      </c>
      <c r="B5" s="39" t="s">
        <v>471</v>
      </c>
    </row>
    <row r="6">
      <c r="A6" s="40" t="s">
        <v>391</v>
      </c>
      <c r="B6" s="39" t="s">
        <v>487</v>
      </c>
    </row>
    <row r="7">
      <c r="A7" s="40" t="s">
        <v>390</v>
      </c>
      <c r="B7" s="39" t="s">
        <v>501</v>
      </c>
    </row>
    <row r="8">
      <c r="A8" s="40" t="s">
        <v>389</v>
      </c>
      <c r="B8" s="39" t="s">
        <v>511</v>
      </c>
    </row>
    <row r="9">
      <c r="A9" s="40" t="s">
        <v>388</v>
      </c>
      <c r="B9" s="39" t="s">
        <v>526</v>
      </c>
    </row>
    <row r="10">
      <c r="A10" s="40" t="s">
        <v>386</v>
      </c>
      <c r="B10" s="39" t="s">
        <v>540</v>
      </c>
    </row>
    <row r="11">
      <c r="A11" s="40" t="s">
        <v>385</v>
      </c>
      <c r="B11" s="39" t="s">
        <v>556</v>
      </c>
    </row>
    <row r="12">
      <c r="A12" s="40" t="s">
        <v>384</v>
      </c>
      <c r="B12" s="39" t="s">
        <v>577</v>
      </c>
    </row>
    <row r="13">
      <c r="A13" s="40" t="s">
        <v>383</v>
      </c>
      <c r="B13" s="39" t="s">
        <v>585</v>
      </c>
    </row>
    <row r="14">
      <c r="A14" s="40" t="s">
        <v>382</v>
      </c>
      <c r="B14" s="39" t="s">
        <v>598</v>
      </c>
    </row>
    <row r="15">
      <c r="A15" s="40" t="s">
        <v>381</v>
      </c>
      <c r="B15" s="39" t="s">
        <v>605</v>
      </c>
    </row>
    <row r="16">
      <c r="A16" s="40" t="s">
        <v>380</v>
      </c>
      <c r="B16" s="39" t="s">
        <v>614</v>
      </c>
    </row>
    <row r="17">
      <c r="A17" s="40" t="s">
        <v>379</v>
      </c>
      <c r="B17" s="39" t="s">
        <v>630</v>
      </c>
    </row>
    <row r="18">
      <c r="A18" s="39" t="s">
        <v>3866</v>
      </c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13.63"/>
    <col customWidth="1" min="5" max="5" width="21.63"/>
  </cols>
  <sheetData>
    <row r="1">
      <c r="A1" s="39" t="s">
        <v>377</v>
      </c>
      <c r="B1" s="39" t="s">
        <v>378</v>
      </c>
    </row>
    <row r="2">
      <c r="A2" s="63" t="s">
        <v>1481</v>
      </c>
      <c r="B2" s="39" t="s">
        <v>681</v>
      </c>
    </row>
    <row r="3">
      <c r="A3" s="63" t="s">
        <v>1482</v>
      </c>
      <c r="B3" s="39" t="s">
        <v>689</v>
      </c>
    </row>
    <row r="4">
      <c r="A4" s="63" t="s">
        <v>3867</v>
      </c>
      <c r="B4" s="39" t="s">
        <v>697</v>
      </c>
    </row>
    <row r="5">
      <c r="A5" s="63" t="s">
        <v>3868</v>
      </c>
      <c r="B5" s="39" t="s">
        <v>703</v>
      </c>
    </row>
    <row r="6">
      <c r="A6" s="63" t="s">
        <v>3869</v>
      </c>
      <c r="B6" s="39" t="s">
        <v>705</v>
      </c>
    </row>
    <row r="7">
      <c r="A7" s="63" t="s">
        <v>380</v>
      </c>
      <c r="B7" s="39" t="s">
        <v>716</v>
      </c>
    </row>
    <row r="8">
      <c r="A8" s="63" t="s">
        <v>381</v>
      </c>
      <c r="B8" s="39" t="s">
        <v>720</v>
      </c>
    </row>
    <row r="9">
      <c r="A9" s="63" t="s">
        <v>382</v>
      </c>
      <c r="B9" s="39" t="s">
        <v>726</v>
      </c>
    </row>
    <row r="10">
      <c r="A10" s="63" t="s">
        <v>383</v>
      </c>
      <c r="B10" s="39" t="s">
        <v>738</v>
      </c>
    </row>
    <row r="11">
      <c r="A11" s="63" t="s">
        <v>384</v>
      </c>
      <c r="B11" s="39" t="s">
        <v>749</v>
      </c>
    </row>
    <row r="12">
      <c r="A12" s="63" t="s">
        <v>3870</v>
      </c>
      <c r="B12" s="39" t="s">
        <v>762</v>
      </c>
    </row>
    <row r="13">
      <c r="A13" s="63" t="s">
        <v>385</v>
      </c>
      <c r="B13" s="39" t="s">
        <v>768</v>
      </c>
    </row>
    <row r="14">
      <c r="A14" s="63" t="s">
        <v>386</v>
      </c>
      <c r="B14" s="39" t="s">
        <v>784</v>
      </c>
    </row>
    <row r="15">
      <c r="A15" s="63" t="s">
        <v>3871</v>
      </c>
      <c r="B15" s="39" t="s">
        <v>792</v>
      </c>
    </row>
    <row r="16">
      <c r="A16" s="63" t="s">
        <v>3872</v>
      </c>
      <c r="B16" s="39" t="s">
        <v>800</v>
      </c>
    </row>
    <row r="17">
      <c r="A17" s="63" t="s">
        <v>3873</v>
      </c>
      <c r="B17" s="39" t="s">
        <v>809</v>
      </c>
    </row>
    <row r="18">
      <c r="A18" s="63" t="s">
        <v>389</v>
      </c>
      <c r="B18" s="39" t="s">
        <v>819</v>
      </c>
    </row>
    <row r="19">
      <c r="A19" s="63" t="s">
        <v>390</v>
      </c>
      <c r="B19" s="39" t="s">
        <v>833</v>
      </c>
    </row>
    <row r="20">
      <c r="A20" s="63" t="s">
        <v>3874</v>
      </c>
      <c r="B20" s="39" t="s">
        <v>845</v>
      </c>
    </row>
    <row r="21">
      <c r="A21" s="63" t="s">
        <v>392</v>
      </c>
      <c r="B21" s="39" t="s">
        <v>865</v>
      </c>
    </row>
    <row r="22">
      <c r="A22" s="63" t="s">
        <v>393</v>
      </c>
      <c r="B22" s="39" t="s">
        <v>879</v>
      </c>
    </row>
    <row r="23">
      <c r="A23" s="63" t="s">
        <v>3875</v>
      </c>
      <c r="B23" s="39" t="s">
        <v>894</v>
      </c>
    </row>
    <row r="24">
      <c r="A24" s="63" t="s">
        <v>394</v>
      </c>
      <c r="B24" s="39" t="s">
        <v>3876</v>
      </c>
    </row>
    <row r="25">
      <c r="A25" s="63" t="s">
        <v>3877</v>
      </c>
      <c r="B25" s="39" t="s">
        <v>906</v>
      </c>
    </row>
    <row r="26">
      <c r="A26" s="63" t="s">
        <v>395</v>
      </c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39" t="s">
        <v>377</v>
      </c>
      <c r="B1" s="39" t="s">
        <v>378</v>
      </c>
    </row>
    <row r="2">
      <c r="A2" s="40" t="str">
        <f t="array" ref="A2:A26">SORT('Station DN LL'!A2:A26, ROW('Station DN LL'!A2:A26), FALSE)</f>
        <v>Kalyan (KYN) 53.21KM</v>
      </c>
      <c r="B2" s="39" t="s">
        <v>3878</v>
      </c>
    </row>
    <row r="3">
      <c r="A3" s="40" t="s">
        <v>3877</v>
      </c>
      <c r="B3" s="39" t="s">
        <v>941</v>
      </c>
    </row>
    <row r="4">
      <c r="A4" s="40" t="s">
        <v>394</v>
      </c>
      <c r="B4" s="39" t="s">
        <v>946</v>
      </c>
    </row>
    <row r="5">
      <c r="A5" s="40" t="s">
        <v>3875</v>
      </c>
      <c r="B5" s="39" t="s">
        <v>951</v>
      </c>
      <c r="D5" s="88"/>
    </row>
    <row r="6">
      <c r="A6" s="40" t="s">
        <v>393</v>
      </c>
      <c r="B6" s="39" t="s">
        <v>967</v>
      </c>
    </row>
    <row r="7">
      <c r="A7" s="40" t="s">
        <v>392</v>
      </c>
      <c r="B7" s="39" t="s">
        <v>976</v>
      </c>
    </row>
    <row r="8">
      <c r="A8" s="40" t="s">
        <v>3874</v>
      </c>
      <c r="B8" s="39" t="s">
        <v>996</v>
      </c>
    </row>
    <row r="9">
      <c r="A9" s="40" t="s">
        <v>390</v>
      </c>
      <c r="B9" s="39" t="s">
        <v>1009</v>
      </c>
    </row>
    <row r="10">
      <c r="A10" s="40" t="s">
        <v>389</v>
      </c>
      <c r="B10" s="39" t="s">
        <v>1022</v>
      </c>
    </row>
    <row r="11">
      <c r="A11" s="40" t="s">
        <v>3873</v>
      </c>
      <c r="B11" s="39" t="s">
        <v>1029</v>
      </c>
    </row>
    <row r="12">
      <c r="A12" s="40" t="s">
        <v>3872</v>
      </c>
      <c r="B12" s="39" t="s">
        <v>1035</v>
      </c>
    </row>
    <row r="13">
      <c r="A13" s="40" t="s">
        <v>3871</v>
      </c>
      <c r="B13" s="39" t="s">
        <v>1043</v>
      </c>
    </row>
    <row r="14">
      <c r="A14" s="40" t="s">
        <v>386</v>
      </c>
      <c r="B14" s="39" t="s">
        <v>1049</v>
      </c>
    </row>
    <row r="15">
      <c r="A15" s="40" t="s">
        <v>385</v>
      </c>
      <c r="B15" s="39" t="s">
        <v>1064</v>
      </c>
    </row>
    <row r="16">
      <c r="A16" s="40" t="s">
        <v>3870</v>
      </c>
      <c r="B16" s="39" t="s">
        <v>1069</v>
      </c>
    </row>
    <row r="17">
      <c r="A17" s="40" t="s">
        <v>384</v>
      </c>
      <c r="B17" s="39" t="s">
        <v>1078</v>
      </c>
    </row>
    <row r="18">
      <c r="A18" s="40" t="s">
        <v>383</v>
      </c>
      <c r="B18" s="39" t="s">
        <v>1087</v>
      </c>
    </row>
    <row r="19">
      <c r="A19" s="40" t="s">
        <v>382</v>
      </c>
      <c r="B19" s="39" t="s">
        <v>1097</v>
      </c>
    </row>
    <row r="20">
      <c r="A20" s="40" t="s">
        <v>381</v>
      </c>
      <c r="B20" s="39" t="s">
        <v>1101</v>
      </c>
    </row>
    <row r="21">
      <c r="A21" s="40" t="s">
        <v>380</v>
      </c>
      <c r="B21" s="39" t="s">
        <v>1107</v>
      </c>
    </row>
    <row r="22">
      <c r="A22" s="40" t="s">
        <v>3869</v>
      </c>
      <c r="B22" s="39" t="s">
        <v>1115</v>
      </c>
    </row>
    <row r="23">
      <c r="A23" s="40" t="s">
        <v>3868</v>
      </c>
      <c r="B23" s="39" t="s">
        <v>1118</v>
      </c>
    </row>
    <row r="24">
      <c r="A24" s="40" t="s">
        <v>3867</v>
      </c>
      <c r="B24" s="39" t="s">
        <v>1121</v>
      </c>
    </row>
    <row r="25">
      <c r="A25" s="40" t="s">
        <v>1482</v>
      </c>
      <c r="B25" s="39" t="s">
        <v>1129</v>
      </c>
    </row>
    <row r="26">
      <c r="A26" s="40" t="s">
        <v>1481</v>
      </c>
      <c r="B26" s="39" t="s">
        <v>1135</v>
      </c>
    </row>
    <row r="27">
      <c r="A27" s="39" t="s">
        <v>3695</v>
      </c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499</v>
      </c>
      <c r="B2" s="39" t="s">
        <v>7</v>
      </c>
      <c r="C2" s="39" t="s">
        <v>397</v>
      </c>
      <c r="D2" s="39" t="s">
        <v>3879</v>
      </c>
      <c r="E2" s="39" t="s">
        <v>478</v>
      </c>
      <c r="F2" s="39">
        <v>41.44</v>
      </c>
      <c r="G2" s="39">
        <v>38.446</v>
      </c>
      <c r="H2" s="39">
        <v>100.0</v>
      </c>
      <c r="I2" s="72">
        <v>19.18532</v>
      </c>
      <c r="J2" s="72">
        <v>73.03467</v>
      </c>
      <c r="K2" s="72">
        <v>19.20378</v>
      </c>
      <c r="L2" s="72">
        <v>73.01926</v>
      </c>
      <c r="M2" s="39" t="s">
        <v>3880</v>
      </c>
      <c r="O2" s="39" t="s">
        <v>465</v>
      </c>
    </row>
    <row r="3">
      <c r="A3" s="39" t="s">
        <v>499</v>
      </c>
      <c r="B3" s="39" t="s">
        <v>7</v>
      </c>
      <c r="C3" s="39" t="s">
        <v>397</v>
      </c>
      <c r="D3" s="39" t="s">
        <v>478</v>
      </c>
      <c r="E3" s="39" t="s">
        <v>3881</v>
      </c>
      <c r="F3" s="39">
        <v>38.446</v>
      </c>
      <c r="G3" s="39">
        <v>37.751</v>
      </c>
      <c r="H3" s="39">
        <v>85.0</v>
      </c>
      <c r="I3" s="72">
        <v>19.20378</v>
      </c>
      <c r="J3" s="72">
        <v>73.01926</v>
      </c>
      <c r="K3" s="72">
        <v>19.20586</v>
      </c>
      <c r="L3" s="72">
        <v>73.01551</v>
      </c>
      <c r="M3" s="39" t="s">
        <v>3882</v>
      </c>
      <c r="O3" s="39" t="s">
        <v>477</v>
      </c>
    </row>
    <row r="4">
      <c r="A4" s="39" t="s">
        <v>499</v>
      </c>
      <c r="B4" s="39" t="s">
        <v>7</v>
      </c>
      <c r="C4" s="39" t="s">
        <v>397</v>
      </c>
      <c r="D4" s="39" t="s">
        <v>3881</v>
      </c>
      <c r="E4" s="39" t="s">
        <v>3883</v>
      </c>
      <c r="F4" s="39">
        <v>37.751</v>
      </c>
      <c r="G4" s="39">
        <v>36.7</v>
      </c>
      <c r="H4" s="39">
        <v>95.0</v>
      </c>
      <c r="I4" s="72">
        <v>19.20586</v>
      </c>
      <c r="J4" s="72">
        <v>73.01551</v>
      </c>
      <c r="K4" s="73">
        <v>19.20082</v>
      </c>
      <c r="L4" s="73">
        <v>73.00368</v>
      </c>
      <c r="M4" s="39" t="s">
        <v>3884</v>
      </c>
      <c r="O4" s="39" t="s">
        <v>479</v>
      </c>
    </row>
    <row r="5">
      <c r="A5" s="39" t="s">
        <v>499</v>
      </c>
      <c r="B5" s="39" t="s">
        <v>7</v>
      </c>
      <c r="C5" s="39" t="s">
        <v>397</v>
      </c>
      <c r="D5" s="39" t="s">
        <v>3885</v>
      </c>
      <c r="E5" s="39" t="s">
        <v>3886</v>
      </c>
      <c r="F5" s="39">
        <v>33.549</v>
      </c>
      <c r="G5" s="39">
        <v>33.144</v>
      </c>
      <c r="H5" s="39">
        <v>80.0</v>
      </c>
      <c r="I5" s="73">
        <v>19.18766</v>
      </c>
      <c r="J5" s="73">
        <v>72.98077</v>
      </c>
      <c r="K5" s="72">
        <v>19.18525</v>
      </c>
      <c r="L5" s="72">
        <v>72.97336</v>
      </c>
      <c r="M5" s="39" t="s">
        <v>3887</v>
      </c>
      <c r="O5" s="39" t="s">
        <v>498</v>
      </c>
    </row>
    <row r="6">
      <c r="A6" s="39" t="s">
        <v>499</v>
      </c>
      <c r="B6" s="39" t="s">
        <v>7</v>
      </c>
      <c r="C6" s="39" t="s">
        <v>3888</v>
      </c>
      <c r="D6" s="41" t="s">
        <v>3889</v>
      </c>
      <c r="E6" s="41" t="s">
        <v>3890</v>
      </c>
      <c r="F6" s="39">
        <v>10.389</v>
      </c>
      <c r="G6" s="39">
        <v>9.998</v>
      </c>
      <c r="H6" s="39">
        <v>60.0</v>
      </c>
      <c r="I6" s="72">
        <v>19.02695</v>
      </c>
      <c r="J6" s="72">
        <v>72.85013</v>
      </c>
      <c r="K6" s="73">
        <v>19.02096</v>
      </c>
      <c r="L6" s="73">
        <v>72.84586</v>
      </c>
      <c r="M6" s="39" t="s">
        <v>3891</v>
      </c>
      <c r="O6" s="39" t="s">
        <v>598</v>
      </c>
    </row>
    <row r="7">
      <c r="A7" s="39" t="s">
        <v>499</v>
      </c>
      <c r="B7" s="39" t="s">
        <v>7</v>
      </c>
      <c r="C7" s="39" t="s">
        <v>397</v>
      </c>
      <c r="D7" s="41" t="s">
        <v>3892</v>
      </c>
      <c r="E7" s="41" t="s">
        <v>3893</v>
      </c>
      <c r="F7" s="39">
        <v>7.564</v>
      </c>
      <c r="G7" s="39">
        <v>7.441</v>
      </c>
      <c r="H7" s="39">
        <v>70.0</v>
      </c>
      <c r="I7" s="2"/>
      <c r="J7" s="2"/>
      <c r="K7" s="2"/>
      <c r="L7" s="2"/>
      <c r="M7" s="39" t="s">
        <v>3894</v>
      </c>
      <c r="O7" s="39" t="s">
        <v>616</v>
      </c>
    </row>
    <row r="8">
      <c r="A8" s="39" t="s">
        <v>499</v>
      </c>
      <c r="B8" s="39" t="s">
        <v>7</v>
      </c>
      <c r="C8" s="39" t="s">
        <v>397</v>
      </c>
      <c r="D8" s="41" t="s">
        <v>3895</v>
      </c>
      <c r="E8" s="41" t="s">
        <v>3896</v>
      </c>
      <c r="F8" s="39">
        <v>6.505</v>
      </c>
      <c r="G8" s="39">
        <v>6.417</v>
      </c>
      <c r="H8" s="39">
        <v>70.0</v>
      </c>
      <c r="I8" s="2"/>
      <c r="J8" s="2"/>
      <c r="K8" s="2"/>
      <c r="L8" s="2"/>
      <c r="M8" s="39" t="s">
        <v>3897</v>
      </c>
      <c r="O8" s="39" t="s">
        <v>620</v>
      </c>
    </row>
    <row r="9">
      <c r="A9" s="39" t="s">
        <v>499</v>
      </c>
      <c r="B9" s="39" t="s">
        <v>7</v>
      </c>
      <c r="C9" s="39" t="s">
        <v>397</v>
      </c>
      <c r="D9" s="41" t="s">
        <v>3898</v>
      </c>
      <c r="E9" s="41" t="s">
        <v>3899</v>
      </c>
      <c r="F9" s="39">
        <v>4.767</v>
      </c>
      <c r="G9" s="39">
        <v>4.575</v>
      </c>
      <c r="H9" s="39">
        <v>65.0</v>
      </c>
      <c r="I9" s="72">
        <v>18.98018</v>
      </c>
      <c r="J9" s="72">
        <v>72.83282</v>
      </c>
      <c r="K9" s="72">
        <v>18.97358</v>
      </c>
      <c r="L9" s="72">
        <v>72.83287</v>
      </c>
      <c r="M9" s="39" t="s">
        <v>1169</v>
      </c>
      <c r="O9" s="39" t="s">
        <v>628</v>
      </c>
    </row>
    <row r="10">
      <c r="A10" s="39" t="s">
        <v>499</v>
      </c>
      <c r="B10" s="39" t="s">
        <v>7</v>
      </c>
      <c r="C10" s="39" t="s">
        <v>397</v>
      </c>
      <c r="D10" s="39" t="s">
        <v>3900</v>
      </c>
      <c r="E10" s="41" t="s">
        <v>3901</v>
      </c>
      <c r="F10" s="39">
        <v>3.998</v>
      </c>
      <c r="G10" s="39">
        <v>3.418</v>
      </c>
      <c r="H10" s="39">
        <v>65.0</v>
      </c>
      <c r="I10" s="72">
        <v>18.97358</v>
      </c>
      <c r="J10" s="72">
        <v>72.83287</v>
      </c>
      <c r="K10" s="72">
        <v>18.96738</v>
      </c>
      <c r="L10" s="72">
        <v>72.83547</v>
      </c>
      <c r="M10" s="39" t="s">
        <v>3902</v>
      </c>
      <c r="O10" s="39" t="s">
        <v>633</v>
      </c>
    </row>
    <row r="11">
      <c r="A11" s="39" t="s">
        <v>499</v>
      </c>
      <c r="B11" s="39" t="s">
        <v>7</v>
      </c>
      <c r="C11" s="39" t="s">
        <v>397</v>
      </c>
      <c r="D11" s="39" t="s">
        <v>3903</v>
      </c>
      <c r="E11" s="39" t="s">
        <v>3904</v>
      </c>
      <c r="F11" s="39">
        <v>3.188</v>
      </c>
      <c r="G11" s="39">
        <v>2.855</v>
      </c>
      <c r="H11" s="39">
        <v>50.0</v>
      </c>
      <c r="I11" s="72">
        <v>18.96537</v>
      </c>
      <c r="J11" s="72">
        <v>72.83762</v>
      </c>
      <c r="K11" s="72">
        <v>18.96267</v>
      </c>
      <c r="L11" s="72">
        <v>72.83941</v>
      </c>
      <c r="M11" s="39" t="s">
        <v>3902</v>
      </c>
      <c r="O11" s="39" t="s">
        <v>637</v>
      </c>
    </row>
    <row r="12">
      <c r="A12" s="39" t="s">
        <v>499</v>
      </c>
      <c r="B12" s="39" t="s">
        <v>7</v>
      </c>
      <c r="C12" s="39" t="s">
        <v>397</v>
      </c>
      <c r="D12" s="41" t="s">
        <v>3905</v>
      </c>
      <c r="E12" s="41" t="s">
        <v>3906</v>
      </c>
      <c r="F12" s="39">
        <v>2.621</v>
      </c>
      <c r="G12" s="39">
        <v>2.1</v>
      </c>
      <c r="H12" s="39">
        <v>60.0</v>
      </c>
      <c r="I12" s="72">
        <v>18.95897</v>
      </c>
      <c r="J12" s="72">
        <v>72.83928</v>
      </c>
      <c r="K12" s="73">
        <v>18.95379</v>
      </c>
      <c r="L12" s="73">
        <v>72.83842</v>
      </c>
      <c r="M12" s="39" t="s">
        <v>3902</v>
      </c>
      <c r="O12" s="39" t="s">
        <v>639</v>
      </c>
    </row>
    <row r="13">
      <c r="A13" s="39" t="s">
        <v>499</v>
      </c>
      <c r="B13" s="39" t="s">
        <v>7</v>
      </c>
      <c r="C13" s="39" t="s">
        <v>397</v>
      </c>
      <c r="D13" s="41" t="s">
        <v>3907</v>
      </c>
      <c r="E13" s="41" t="s">
        <v>670</v>
      </c>
      <c r="F13" s="39">
        <v>2.0</v>
      </c>
      <c r="G13" s="39">
        <v>1.5</v>
      </c>
      <c r="H13" s="39">
        <v>30.0</v>
      </c>
      <c r="I13" s="73">
        <v>18.95112</v>
      </c>
      <c r="J13" s="73">
        <v>72.83843</v>
      </c>
      <c r="K13" s="2"/>
      <c r="L13" s="2"/>
      <c r="M13" s="39" t="s">
        <v>3908</v>
      </c>
      <c r="O13" s="39" t="s">
        <v>641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1835</v>
      </c>
      <c r="B2" s="39" t="s">
        <v>1417</v>
      </c>
      <c r="C2" s="39" t="s">
        <v>1418</v>
      </c>
      <c r="D2" s="39" t="s">
        <v>24</v>
      </c>
      <c r="E2" s="39" t="s">
        <v>1771</v>
      </c>
      <c r="F2" s="39" t="s">
        <v>64</v>
      </c>
      <c r="G2" s="39" t="s">
        <v>85</v>
      </c>
      <c r="L2" s="39" t="s">
        <v>1685</v>
      </c>
      <c r="M2" s="39" t="s">
        <v>2143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0.0</v>
      </c>
      <c r="W2" s="39">
        <v>0.0</v>
      </c>
      <c r="X2" s="39">
        <v>0.0</v>
      </c>
      <c r="Y2" s="39">
        <v>2.0</v>
      </c>
      <c r="Z2" s="30" t="s">
        <v>1836</v>
      </c>
      <c r="AA2" s="30" t="s">
        <v>315</v>
      </c>
      <c r="AC2" s="39">
        <v>300.0</v>
      </c>
      <c r="AE2" s="39">
        <v>1.0</v>
      </c>
    </row>
    <row r="3">
      <c r="A3" s="39" t="s">
        <v>1837</v>
      </c>
      <c r="B3" s="39" t="s">
        <v>1417</v>
      </c>
      <c r="C3" s="39" t="s">
        <v>1418</v>
      </c>
      <c r="D3" s="39" t="s">
        <v>24</v>
      </c>
      <c r="E3" s="39" t="s">
        <v>1771</v>
      </c>
      <c r="F3" s="39" t="s">
        <v>64</v>
      </c>
      <c r="G3" s="39" t="s">
        <v>80</v>
      </c>
      <c r="L3" s="39" t="s">
        <v>1685</v>
      </c>
      <c r="M3" s="39" t="s">
        <v>2143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0.0</v>
      </c>
      <c r="X3" s="39">
        <v>1.0</v>
      </c>
      <c r="Y3" s="39">
        <v>1.0</v>
      </c>
      <c r="Z3" s="30" t="s">
        <v>1838</v>
      </c>
      <c r="AA3" s="30" t="s">
        <v>411</v>
      </c>
      <c r="AE3" s="39">
        <v>1.0</v>
      </c>
    </row>
    <row r="4">
      <c r="A4" s="39" t="s">
        <v>1839</v>
      </c>
      <c r="B4" s="39" t="s">
        <v>1417</v>
      </c>
      <c r="C4" s="39" t="s">
        <v>1418</v>
      </c>
      <c r="D4" s="39" t="s">
        <v>24</v>
      </c>
      <c r="E4" s="39" t="s">
        <v>1771</v>
      </c>
      <c r="F4" s="39" t="s">
        <v>64</v>
      </c>
      <c r="G4" s="39" t="s">
        <v>76</v>
      </c>
      <c r="L4" s="39" t="s">
        <v>1685</v>
      </c>
      <c r="M4" s="39" t="s">
        <v>2143</v>
      </c>
      <c r="N4" s="39" t="s">
        <v>81</v>
      </c>
      <c r="O4" s="39" t="s">
        <v>68</v>
      </c>
      <c r="Q4" s="39">
        <v>1.0</v>
      </c>
      <c r="R4" s="39">
        <v>0.0</v>
      </c>
      <c r="S4" s="39">
        <v>0.0</v>
      </c>
      <c r="T4" s="39">
        <v>0.0</v>
      </c>
      <c r="U4" s="39">
        <v>0.0</v>
      </c>
      <c r="V4" s="39">
        <v>0.0</v>
      </c>
      <c r="W4" s="39">
        <v>1.0</v>
      </c>
      <c r="X4" s="39">
        <v>2.0</v>
      </c>
      <c r="Y4" s="39">
        <v>0.0</v>
      </c>
      <c r="Z4" s="30" t="s">
        <v>1840</v>
      </c>
      <c r="AA4" s="30" t="s">
        <v>78</v>
      </c>
      <c r="AE4" s="39">
        <v>1.0</v>
      </c>
    </row>
    <row r="5">
      <c r="A5" s="39" t="s">
        <v>1841</v>
      </c>
      <c r="B5" s="39" t="s">
        <v>1417</v>
      </c>
      <c r="C5" s="39" t="s">
        <v>1418</v>
      </c>
      <c r="D5" s="39" t="s">
        <v>24</v>
      </c>
      <c r="E5" s="39" t="s">
        <v>1771</v>
      </c>
      <c r="F5" s="39" t="s">
        <v>64</v>
      </c>
      <c r="G5" s="39" t="s">
        <v>1691</v>
      </c>
      <c r="L5" s="39" t="s">
        <v>1685</v>
      </c>
      <c r="M5" s="39" t="s">
        <v>2143</v>
      </c>
      <c r="N5" s="39" t="s">
        <v>1842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1.0</v>
      </c>
      <c r="Y5" s="39">
        <v>1.0</v>
      </c>
      <c r="Z5" s="30" t="s">
        <v>1838</v>
      </c>
      <c r="AA5" s="30" t="s">
        <v>411</v>
      </c>
      <c r="AE5" s="39">
        <v>1.0</v>
      </c>
    </row>
    <row r="6">
      <c r="A6" s="39" t="s">
        <v>1843</v>
      </c>
      <c r="B6" s="39" t="s">
        <v>1417</v>
      </c>
      <c r="C6" s="39" t="s">
        <v>1418</v>
      </c>
      <c r="D6" s="39" t="s">
        <v>24</v>
      </c>
      <c r="E6" s="39" t="s">
        <v>1771</v>
      </c>
      <c r="F6" s="39" t="s">
        <v>64</v>
      </c>
      <c r="G6" s="39" t="s">
        <v>1844</v>
      </c>
      <c r="I6" s="40">
        <v>68.4</v>
      </c>
      <c r="L6" s="39" t="s">
        <v>1685</v>
      </c>
      <c r="M6" s="39" t="s">
        <v>2143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2.0</v>
      </c>
      <c r="Y6" s="39">
        <v>0.0</v>
      </c>
      <c r="Z6" s="30" t="s">
        <v>1840</v>
      </c>
      <c r="AA6" s="30" t="s">
        <v>78</v>
      </c>
      <c r="AE6" s="39">
        <v>1.0</v>
      </c>
    </row>
    <row r="7">
      <c r="A7" s="39" t="s">
        <v>3909</v>
      </c>
      <c r="B7" s="39" t="s">
        <v>1417</v>
      </c>
      <c r="C7" s="39" t="s">
        <v>1418</v>
      </c>
      <c r="D7" s="39" t="s">
        <v>24</v>
      </c>
      <c r="E7" s="39" t="s">
        <v>1771</v>
      </c>
      <c r="F7" s="39" t="s">
        <v>64</v>
      </c>
      <c r="G7" s="39" t="s">
        <v>3910</v>
      </c>
      <c r="H7" s="39" t="s">
        <v>3910</v>
      </c>
      <c r="L7" s="39" t="s">
        <v>1685</v>
      </c>
      <c r="M7" s="39" t="s">
        <v>2388</v>
      </c>
      <c r="O7" s="39" t="s">
        <v>68</v>
      </c>
      <c r="AE7" s="39">
        <v>1.0</v>
      </c>
    </row>
    <row r="8">
      <c r="A8" s="39" t="s">
        <v>3911</v>
      </c>
      <c r="B8" s="39" t="s">
        <v>1417</v>
      </c>
      <c r="C8" s="39" t="s">
        <v>1418</v>
      </c>
      <c r="D8" s="39" t="s">
        <v>24</v>
      </c>
      <c r="E8" s="39" t="s">
        <v>1771</v>
      </c>
      <c r="F8" s="39" t="s">
        <v>64</v>
      </c>
      <c r="G8" s="39" t="s">
        <v>3912</v>
      </c>
      <c r="H8" s="39" t="s">
        <v>3912</v>
      </c>
      <c r="L8" s="39" t="s">
        <v>1685</v>
      </c>
      <c r="M8" s="39" t="s">
        <v>2542</v>
      </c>
      <c r="O8" s="39" t="s">
        <v>68</v>
      </c>
      <c r="AE8" s="39">
        <v>1.0</v>
      </c>
    </row>
    <row r="9">
      <c r="A9" s="39" t="s">
        <v>3913</v>
      </c>
      <c r="B9" s="39" t="s">
        <v>1417</v>
      </c>
      <c r="C9" s="39" t="s">
        <v>1418</v>
      </c>
      <c r="D9" s="39" t="s">
        <v>24</v>
      </c>
      <c r="E9" s="39" t="s">
        <v>1771</v>
      </c>
      <c r="F9" s="39" t="s">
        <v>64</v>
      </c>
      <c r="G9" s="39" t="s">
        <v>1896</v>
      </c>
      <c r="H9" s="39" t="s">
        <v>1896</v>
      </c>
      <c r="L9" s="39" t="s">
        <v>1716</v>
      </c>
      <c r="M9" s="39" t="s">
        <v>1716</v>
      </c>
      <c r="O9" s="39" t="s">
        <v>68</v>
      </c>
      <c r="AE9" s="39">
        <v>1.0</v>
      </c>
    </row>
    <row r="10">
      <c r="A10" s="39" t="s">
        <v>3914</v>
      </c>
      <c r="B10" s="39" t="s">
        <v>1417</v>
      </c>
      <c r="C10" s="39" t="s">
        <v>1418</v>
      </c>
      <c r="D10" s="39" t="s">
        <v>24</v>
      </c>
      <c r="E10" s="39" t="s">
        <v>1771</v>
      </c>
      <c r="F10" s="39" t="s">
        <v>64</v>
      </c>
      <c r="G10" s="39" t="s">
        <v>3915</v>
      </c>
      <c r="H10" s="39" t="s">
        <v>3915</v>
      </c>
      <c r="L10" s="39" t="s">
        <v>1685</v>
      </c>
      <c r="M10" s="39" t="s">
        <v>2126</v>
      </c>
      <c r="O10" s="39" t="s">
        <v>68</v>
      </c>
      <c r="AE10" s="39">
        <v>1.0</v>
      </c>
    </row>
    <row r="11">
      <c r="A11" s="39" t="s">
        <v>3916</v>
      </c>
      <c r="B11" s="39" t="s">
        <v>1417</v>
      </c>
      <c r="C11" s="39" t="s">
        <v>1418</v>
      </c>
      <c r="D11" s="39" t="s">
        <v>24</v>
      </c>
      <c r="E11" s="39" t="s">
        <v>1771</v>
      </c>
      <c r="F11" s="39" t="s">
        <v>64</v>
      </c>
      <c r="G11" s="39" t="s">
        <v>3917</v>
      </c>
      <c r="H11" s="39" t="s">
        <v>3917</v>
      </c>
      <c r="L11" s="39" t="s">
        <v>1685</v>
      </c>
      <c r="M11" s="39" t="s">
        <v>2140</v>
      </c>
      <c r="O11" s="39" t="s">
        <v>68</v>
      </c>
      <c r="AE11" s="39">
        <v>1.0</v>
      </c>
    </row>
    <row r="12">
      <c r="A12" s="39" t="s">
        <v>3918</v>
      </c>
      <c r="B12" s="39" t="s">
        <v>1417</v>
      </c>
      <c r="C12" s="39" t="s">
        <v>1418</v>
      </c>
      <c r="D12" s="39" t="s">
        <v>24</v>
      </c>
      <c r="E12" s="39" t="s">
        <v>1771</v>
      </c>
      <c r="F12" s="39" t="s">
        <v>64</v>
      </c>
      <c r="G12" s="39" t="s">
        <v>3919</v>
      </c>
      <c r="H12" s="39" t="s">
        <v>3919</v>
      </c>
      <c r="L12" s="39" t="s">
        <v>1685</v>
      </c>
      <c r="M12" s="39" t="s">
        <v>2143</v>
      </c>
      <c r="O12" s="39" t="s">
        <v>68</v>
      </c>
      <c r="AE12" s="39">
        <v>1.0</v>
      </c>
    </row>
    <row r="13">
      <c r="A13" s="39" t="s">
        <v>3920</v>
      </c>
      <c r="B13" s="39" t="s">
        <v>1417</v>
      </c>
      <c r="C13" s="39" t="s">
        <v>1418</v>
      </c>
      <c r="D13" s="39" t="s">
        <v>24</v>
      </c>
      <c r="E13" s="39" t="s">
        <v>1771</v>
      </c>
      <c r="F13" s="39" t="s">
        <v>64</v>
      </c>
      <c r="G13" s="39" t="s">
        <v>3919</v>
      </c>
      <c r="H13" s="39" t="s">
        <v>3919</v>
      </c>
      <c r="L13" s="39" t="s">
        <v>1685</v>
      </c>
      <c r="M13" s="39" t="s">
        <v>3921</v>
      </c>
      <c r="O13" s="39" t="s">
        <v>68</v>
      </c>
      <c r="AE13" s="39">
        <v>1.0</v>
      </c>
    </row>
    <row r="14">
      <c r="A14" s="39" t="s">
        <v>3922</v>
      </c>
      <c r="B14" s="39" t="s">
        <v>1417</v>
      </c>
      <c r="C14" s="39" t="s">
        <v>1418</v>
      </c>
      <c r="D14" s="39" t="s">
        <v>24</v>
      </c>
      <c r="E14" s="39" t="s">
        <v>1771</v>
      </c>
      <c r="F14" s="39" t="s">
        <v>64</v>
      </c>
      <c r="G14" s="39" t="s">
        <v>3923</v>
      </c>
      <c r="H14" s="39" t="s">
        <v>3923</v>
      </c>
      <c r="L14" s="39" t="s">
        <v>1685</v>
      </c>
      <c r="M14" s="39" t="s">
        <v>2388</v>
      </c>
      <c r="O14" s="39" t="s">
        <v>68</v>
      </c>
      <c r="AE14" s="39">
        <v>1.0</v>
      </c>
    </row>
    <row r="15">
      <c r="A15" s="39" t="s">
        <v>3924</v>
      </c>
      <c r="B15" s="39" t="s">
        <v>1417</v>
      </c>
      <c r="C15" s="39" t="s">
        <v>1418</v>
      </c>
      <c r="D15" s="39" t="s">
        <v>24</v>
      </c>
      <c r="E15" s="39" t="s">
        <v>1771</v>
      </c>
      <c r="F15" s="39" t="s">
        <v>64</v>
      </c>
      <c r="G15" s="39" t="s">
        <v>3925</v>
      </c>
      <c r="H15" s="39" t="s">
        <v>3925</v>
      </c>
      <c r="L15" s="39" t="s">
        <v>1685</v>
      </c>
      <c r="M15" s="39" t="s">
        <v>2126</v>
      </c>
      <c r="O15" s="39" t="s">
        <v>68</v>
      </c>
      <c r="AE15" s="39">
        <v>1.0</v>
      </c>
    </row>
    <row r="16">
      <c r="A16" s="39" t="s">
        <v>3926</v>
      </c>
      <c r="B16" s="39" t="s">
        <v>1417</v>
      </c>
      <c r="C16" s="39" t="s">
        <v>1418</v>
      </c>
      <c r="D16" s="39" t="s">
        <v>24</v>
      </c>
      <c r="E16" s="39" t="s">
        <v>1771</v>
      </c>
      <c r="F16" s="39" t="s">
        <v>64</v>
      </c>
      <c r="G16" s="39" t="s">
        <v>3927</v>
      </c>
      <c r="H16" s="39" t="s">
        <v>3927</v>
      </c>
      <c r="L16" s="39" t="s">
        <v>1685</v>
      </c>
      <c r="M16" s="39" t="s">
        <v>2140</v>
      </c>
      <c r="O16" s="39" t="s">
        <v>68</v>
      </c>
      <c r="AE16" s="39">
        <v>1.0</v>
      </c>
    </row>
    <row r="17">
      <c r="A17" s="39" t="s">
        <v>3928</v>
      </c>
      <c r="B17" s="39" t="s">
        <v>1417</v>
      </c>
      <c r="C17" s="39" t="s">
        <v>1418</v>
      </c>
      <c r="D17" s="39" t="s">
        <v>24</v>
      </c>
      <c r="E17" s="39" t="s">
        <v>1771</v>
      </c>
      <c r="F17" s="39" t="s">
        <v>64</v>
      </c>
      <c r="L17" s="39" t="s">
        <v>1685</v>
      </c>
      <c r="M17" s="39" t="s">
        <v>2143</v>
      </c>
      <c r="O17" s="39" t="s">
        <v>68</v>
      </c>
      <c r="AE17" s="39">
        <v>1.0</v>
      </c>
    </row>
    <row r="18">
      <c r="A18" s="39" t="s">
        <v>3929</v>
      </c>
      <c r="B18" s="39" t="s">
        <v>1417</v>
      </c>
      <c r="C18" s="39" t="s">
        <v>1418</v>
      </c>
      <c r="D18" s="39" t="s">
        <v>24</v>
      </c>
      <c r="E18" s="39" t="s">
        <v>1771</v>
      </c>
      <c r="F18" s="39" t="s">
        <v>64</v>
      </c>
      <c r="L18" s="39" t="s">
        <v>1685</v>
      </c>
      <c r="M18" s="39" t="s">
        <v>2388</v>
      </c>
      <c r="O18" s="39" t="s">
        <v>68</v>
      </c>
      <c r="AE18" s="39">
        <v>1.0</v>
      </c>
    </row>
    <row r="19">
      <c r="A19" s="39" t="s">
        <v>3930</v>
      </c>
      <c r="B19" s="39" t="s">
        <v>1417</v>
      </c>
      <c r="C19" s="39" t="s">
        <v>1418</v>
      </c>
      <c r="D19" s="39" t="s">
        <v>24</v>
      </c>
      <c r="E19" s="39" t="s">
        <v>1771</v>
      </c>
      <c r="F19" s="39" t="s">
        <v>64</v>
      </c>
      <c r="G19" s="39" t="s">
        <v>3931</v>
      </c>
      <c r="H19" s="39" t="s">
        <v>3931</v>
      </c>
      <c r="L19" s="39" t="s">
        <v>1685</v>
      </c>
      <c r="M19" s="39" t="s">
        <v>2126</v>
      </c>
      <c r="O19" s="39" t="s">
        <v>68</v>
      </c>
      <c r="AE19" s="39">
        <v>1.0</v>
      </c>
    </row>
    <row r="20">
      <c r="A20" s="39" t="s">
        <v>3932</v>
      </c>
      <c r="B20" s="39" t="s">
        <v>1417</v>
      </c>
      <c r="C20" s="39" t="s">
        <v>1418</v>
      </c>
      <c r="D20" s="39" t="s">
        <v>24</v>
      </c>
      <c r="E20" s="39" t="s">
        <v>1771</v>
      </c>
      <c r="F20" s="39" t="s">
        <v>64</v>
      </c>
      <c r="G20" s="39" t="s">
        <v>3933</v>
      </c>
      <c r="H20" s="39" t="s">
        <v>3933</v>
      </c>
      <c r="O20" s="39" t="s">
        <v>68</v>
      </c>
      <c r="AE20" s="39">
        <v>1.0</v>
      </c>
    </row>
    <row r="21">
      <c r="A21" s="39" t="s">
        <v>3934</v>
      </c>
      <c r="B21" s="39" t="s">
        <v>1417</v>
      </c>
      <c r="C21" s="39" t="s">
        <v>1418</v>
      </c>
      <c r="D21" s="39" t="s">
        <v>24</v>
      </c>
      <c r="E21" s="39" t="s">
        <v>1771</v>
      </c>
      <c r="F21" s="39" t="s">
        <v>64</v>
      </c>
      <c r="O21" s="39" t="s">
        <v>68</v>
      </c>
      <c r="AE21" s="39">
        <v>1.0</v>
      </c>
    </row>
    <row r="22">
      <c r="A22" s="39" t="s">
        <v>3935</v>
      </c>
      <c r="B22" s="39" t="s">
        <v>1417</v>
      </c>
      <c r="C22" s="39" t="s">
        <v>1418</v>
      </c>
      <c r="D22" s="39" t="s">
        <v>24</v>
      </c>
      <c r="E22" s="39" t="s">
        <v>1771</v>
      </c>
      <c r="F22" s="39" t="s">
        <v>64</v>
      </c>
      <c r="O22" s="39" t="s">
        <v>68</v>
      </c>
      <c r="AE22" s="39">
        <v>1.0</v>
      </c>
    </row>
    <row r="23">
      <c r="A23" s="39" t="s">
        <v>3936</v>
      </c>
      <c r="B23" s="39" t="s">
        <v>1417</v>
      </c>
      <c r="C23" s="39" t="s">
        <v>1418</v>
      </c>
      <c r="D23" s="39" t="s">
        <v>24</v>
      </c>
      <c r="E23" s="39" t="s">
        <v>1771</v>
      </c>
      <c r="F23" s="39" t="s">
        <v>64</v>
      </c>
      <c r="O23" s="39" t="s">
        <v>68</v>
      </c>
      <c r="AE23" s="39">
        <v>1.0</v>
      </c>
    </row>
    <row r="24">
      <c r="A24" s="39" t="s">
        <v>3937</v>
      </c>
      <c r="B24" s="39" t="s">
        <v>1417</v>
      </c>
      <c r="C24" s="39" t="s">
        <v>1418</v>
      </c>
      <c r="D24" s="39" t="s">
        <v>24</v>
      </c>
      <c r="E24" s="39" t="s">
        <v>1771</v>
      </c>
      <c r="F24" s="39" t="s">
        <v>64</v>
      </c>
      <c r="G24" s="39" t="s">
        <v>1691</v>
      </c>
      <c r="O24" s="39" t="s">
        <v>68</v>
      </c>
      <c r="AE24" s="39">
        <v>1.0</v>
      </c>
    </row>
    <row r="25">
      <c r="A25" s="39" t="s">
        <v>3938</v>
      </c>
      <c r="B25" s="39" t="s">
        <v>1417</v>
      </c>
      <c r="C25" s="39" t="s">
        <v>1418</v>
      </c>
      <c r="D25" s="39" t="s">
        <v>24</v>
      </c>
      <c r="E25" s="39" t="s">
        <v>1771</v>
      </c>
      <c r="F25" s="39" t="s">
        <v>64</v>
      </c>
      <c r="G25" s="39" t="s">
        <v>3939</v>
      </c>
      <c r="O25" s="39" t="s">
        <v>68</v>
      </c>
      <c r="AE25" s="39">
        <v>1.0</v>
      </c>
    </row>
    <row r="26">
      <c r="A26" s="39" t="s">
        <v>3940</v>
      </c>
      <c r="B26" s="39" t="s">
        <v>1417</v>
      </c>
      <c r="C26" s="39" t="s">
        <v>1418</v>
      </c>
      <c r="D26" s="39" t="s">
        <v>24</v>
      </c>
      <c r="E26" s="39" t="s">
        <v>1771</v>
      </c>
      <c r="F26" s="39" t="s">
        <v>64</v>
      </c>
      <c r="G26" s="39" t="s">
        <v>3941</v>
      </c>
      <c r="O26" s="39" t="s">
        <v>68</v>
      </c>
      <c r="AE26" s="39">
        <v>1.0</v>
      </c>
    </row>
    <row r="27">
      <c r="A27" s="39" t="s">
        <v>3942</v>
      </c>
      <c r="B27" s="39" t="s">
        <v>1417</v>
      </c>
      <c r="C27" s="39" t="s">
        <v>1418</v>
      </c>
      <c r="D27" s="39" t="s">
        <v>24</v>
      </c>
      <c r="E27" s="39" t="s">
        <v>1771</v>
      </c>
      <c r="F27" s="39" t="s">
        <v>64</v>
      </c>
      <c r="G27" s="39" t="s">
        <v>3943</v>
      </c>
      <c r="O27" s="39" t="s">
        <v>68</v>
      </c>
      <c r="AE27" s="39">
        <v>1.0</v>
      </c>
    </row>
    <row r="28">
      <c r="A28" s="39" t="s">
        <v>3944</v>
      </c>
      <c r="B28" s="39" t="s">
        <v>1417</v>
      </c>
      <c r="C28" s="39" t="s">
        <v>1418</v>
      </c>
      <c r="D28" s="39" t="s">
        <v>24</v>
      </c>
      <c r="E28" s="39" t="s">
        <v>1771</v>
      </c>
      <c r="F28" s="39" t="s">
        <v>64</v>
      </c>
      <c r="G28" s="39" t="s">
        <v>3945</v>
      </c>
      <c r="H28" s="39" t="s">
        <v>3945</v>
      </c>
      <c r="O28" s="39" t="s">
        <v>68</v>
      </c>
      <c r="AE28" s="39">
        <v>1.0</v>
      </c>
    </row>
    <row r="29">
      <c r="A29" s="39" t="s">
        <v>3946</v>
      </c>
      <c r="B29" s="39" t="s">
        <v>1417</v>
      </c>
      <c r="C29" s="39" t="s">
        <v>1418</v>
      </c>
      <c r="D29" s="39" t="s">
        <v>24</v>
      </c>
      <c r="E29" s="39" t="s">
        <v>1771</v>
      </c>
      <c r="F29" s="39" t="s">
        <v>64</v>
      </c>
      <c r="G29" s="39" t="s">
        <v>3947</v>
      </c>
      <c r="H29" s="39" t="s">
        <v>3947</v>
      </c>
      <c r="O29" s="39" t="s">
        <v>68</v>
      </c>
      <c r="AE29" s="39">
        <v>1.0</v>
      </c>
    </row>
    <row r="30">
      <c r="A30" s="39" t="s">
        <v>3948</v>
      </c>
      <c r="B30" s="39" t="s">
        <v>1417</v>
      </c>
      <c r="C30" s="39" t="s">
        <v>1418</v>
      </c>
      <c r="D30" s="39" t="s">
        <v>24</v>
      </c>
      <c r="E30" s="39" t="s">
        <v>1771</v>
      </c>
      <c r="F30" s="39" t="s">
        <v>64</v>
      </c>
      <c r="G30" s="39" t="s">
        <v>3949</v>
      </c>
      <c r="H30" s="39" t="s">
        <v>3949</v>
      </c>
      <c r="O30" s="39" t="s">
        <v>68</v>
      </c>
      <c r="AE30" s="39">
        <v>1.0</v>
      </c>
    </row>
    <row r="52">
      <c r="G52" s="80"/>
      <c r="I52" s="80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20" t="s">
        <v>1228</v>
      </c>
      <c r="B2" s="39" t="s">
        <v>1225</v>
      </c>
      <c r="C2" s="39" t="s">
        <v>1226</v>
      </c>
      <c r="D2" s="39" t="s">
        <v>3950</v>
      </c>
      <c r="E2" s="39" t="s">
        <v>10</v>
      </c>
      <c r="F2" s="39" t="s">
        <v>64</v>
      </c>
      <c r="G2" s="51" t="s">
        <v>1229</v>
      </c>
      <c r="H2" s="39" t="s">
        <v>1230</v>
      </c>
      <c r="I2" s="40">
        <v>9.292</v>
      </c>
      <c r="J2" s="49">
        <v>19.01746</v>
      </c>
      <c r="K2" s="49">
        <v>72.85987</v>
      </c>
      <c r="L2" s="2" t="s">
        <v>66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0.0</v>
      </c>
      <c r="W2" s="39">
        <v>0.0</v>
      </c>
      <c r="X2" s="39">
        <v>0.0</v>
      </c>
      <c r="Y2" s="39">
        <v>0.0</v>
      </c>
      <c r="AC2" s="39">
        <v>250.0</v>
      </c>
      <c r="AE2" s="39">
        <v>1.0</v>
      </c>
    </row>
    <row r="3">
      <c r="A3" s="39" t="s">
        <v>3951</v>
      </c>
      <c r="B3" s="39" t="s">
        <v>1225</v>
      </c>
      <c r="C3" s="39" t="s">
        <v>3952</v>
      </c>
      <c r="D3" s="39" t="s">
        <v>3950</v>
      </c>
      <c r="E3" s="39" t="s">
        <v>10</v>
      </c>
      <c r="F3" s="39" t="s">
        <v>64</v>
      </c>
      <c r="G3" s="41" t="s">
        <v>3953</v>
      </c>
      <c r="N3" s="39" t="s">
        <v>81</v>
      </c>
      <c r="O3" s="39" t="s">
        <v>68</v>
      </c>
      <c r="Q3" s="39">
        <v>1.0</v>
      </c>
      <c r="R3" s="39">
        <v>0.0</v>
      </c>
      <c r="S3" s="39">
        <v>0.0</v>
      </c>
      <c r="T3" s="39">
        <v>0.0</v>
      </c>
      <c r="X3" s="39">
        <v>1.0</v>
      </c>
      <c r="Y3" s="39">
        <v>0.0</v>
      </c>
      <c r="Z3" s="30" t="s">
        <v>3954</v>
      </c>
      <c r="AA3" s="30" t="s">
        <v>115</v>
      </c>
      <c r="AE3" s="39">
        <v>1.0</v>
      </c>
    </row>
    <row r="4">
      <c r="A4" s="39" t="s">
        <v>3955</v>
      </c>
      <c r="B4" s="39" t="s">
        <v>1225</v>
      </c>
      <c r="C4" s="39" t="s">
        <v>3952</v>
      </c>
      <c r="D4" s="39" t="s">
        <v>3950</v>
      </c>
      <c r="E4" s="39" t="s">
        <v>10</v>
      </c>
      <c r="F4" s="39" t="s">
        <v>64</v>
      </c>
      <c r="G4" s="41" t="s">
        <v>3956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X4" s="39">
        <v>1.0</v>
      </c>
      <c r="Y4" s="39">
        <v>0.0</v>
      </c>
      <c r="Z4" s="30" t="s">
        <v>3954</v>
      </c>
      <c r="AA4" s="30" t="s">
        <v>115</v>
      </c>
      <c r="AE4" s="39">
        <v>1.0</v>
      </c>
    </row>
    <row r="5">
      <c r="A5" s="20" t="s">
        <v>1231</v>
      </c>
      <c r="B5" s="39" t="s">
        <v>1225</v>
      </c>
      <c r="C5" s="39" t="s">
        <v>1226</v>
      </c>
      <c r="D5" s="39" t="s">
        <v>3950</v>
      </c>
      <c r="E5" s="39" t="s">
        <v>10</v>
      </c>
      <c r="F5" s="39" t="s">
        <v>64</v>
      </c>
      <c r="G5" s="53" t="s">
        <v>1232</v>
      </c>
      <c r="H5" s="53" t="s">
        <v>1232</v>
      </c>
      <c r="I5" s="40">
        <v>9.636</v>
      </c>
      <c r="J5" s="49">
        <v>19.02037</v>
      </c>
      <c r="K5" s="49">
        <v>72.86103</v>
      </c>
      <c r="L5" s="2" t="s">
        <v>66</v>
      </c>
      <c r="N5" s="39" t="s">
        <v>67</v>
      </c>
      <c r="O5" s="39" t="s">
        <v>67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1.0</v>
      </c>
      <c r="W5" s="39">
        <v>0.0</v>
      </c>
      <c r="X5" s="39">
        <v>0.0</v>
      </c>
      <c r="Y5" s="39">
        <v>1.0</v>
      </c>
      <c r="Z5" s="30" t="s">
        <v>1233</v>
      </c>
      <c r="AA5" s="30" t="s">
        <v>97</v>
      </c>
      <c r="AC5" s="39">
        <v>250.0</v>
      </c>
      <c r="AE5" s="39">
        <v>1.0</v>
      </c>
    </row>
    <row r="6">
      <c r="A6" s="39" t="s">
        <v>3957</v>
      </c>
      <c r="B6" s="39" t="s">
        <v>1225</v>
      </c>
      <c r="C6" s="39" t="s">
        <v>3952</v>
      </c>
      <c r="D6" s="39" t="s">
        <v>3950</v>
      </c>
      <c r="E6" s="39" t="s">
        <v>10</v>
      </c>
      <c r="F6" s="39" t="s">
        <v>64</v>
      </c>
      <c r="G6" s="41" t="s">
        <v>3958</v>
      </c>
      <c r="H6" s="41" t="s">
        <v>3958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AE6" s="39">
        <v>1.0</v>
      </c>
    </row>
    <row r="7">
      <c r="A7" s="39" t="s">
        <v>3959</v>
      </c>
      <c r="B7" s="39" t="s">
        <v>1225</v>
      </c>
      <c r="C7" s="39" t="s">
        <v>3952</v>
      </c>
      <c r="D7" s="39" t="s">
        <v>3950</v>
      </c>
      <c r="E7" s="39" t="s">
        <v>10</v>
      </c>
      <c r="F7" s="39" t="s">
        <v>64</v>
      </c>
      <c r="G7" s="41" t="s">
        <v>3960</v>
      </c>
      <c r="H7" s="41" t="s">
        <v>3960</v>
      </c>
      <c r="N7" s="39" t="s">
        <v>81</v>
      </c>
      <c r="O7" s="39" t="s">
        <v>68</v>
      </c>
      <c r="Q7" s="39">
        <v>1.0</v>
      </c>
      <c r="R7" s="39">
        <v>0.0</v>
      </c>
      <c r="S7" s="39">
        <v>0.0</v>
      </c>
      <c r="T7" s="39">
        <v>0.0</v>
      </c>
      <c r="AE7" s="39">
        <v>1.0</v>
      </c>
    </row>
    <row r="8">
      <c r="A8" s="39" t="s">
        <v>3961</v>
      </c>
      <c r="D8" s="39" t="s">
        <v>3950</v>
      </c>
      <c r="E8" s="39" t="s">
        <v>10</v>
      </c>
      <c r="F8" s="39" t="s">
        <v>64</v>
      </c>
      <c r="G8" s="41" t="s">
        <v>3962</v>
      </c>
      <c r="N8" s="39" t="s">
        <v>119</v>
      </c>
      <c r="O8" s="39" t="s">
        <v>68</v>
      </c>
      <c r="Q8" s="39">
        <v>0.0</v>
      </c>
      <c r="R8" s="39">
        <v>1.0</v>
      </c>
      <c r="S8" s="39">
        <v>0.0</v>
      </c>
      <c r="T8" s="39">
        <v>0.0</v>
      </c>
      <c r="AE8" s="39">
        <v>1.0</v>
      </c>
    </row>
    <row r="9">
      <c r="A9" s="39" t="s">
        <v>3963</v>
      </c>
      <c r="B9" s="39" t="s">
        <v>3964</v>
      </c>
      <c r="C9" s="39" t="s">
        <v>3965</v>
      </c>
      <c r="D9" s="39" t="s">
        <v>3950</v>
      </c>
      <c r="E9" s="39" t="s">
        <v>10</v>
      </c>
      <c r="F9" s="39" t="s">
        <v>64</v>
      </c>
      <c r="G9" s="41" t="s">
        <v>3966</v>
      </c>
      <c r="H9" s="41" t="s">
        <v>3966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X9" s="39">
        <v>0.0</v>
      </c>
      <c r="Y9" s="39">
        <v>2.0</v>
      </c>
      <c r="Z9" s="30" t="s">
        <v>3967</v>
      </c>
      <c r="AA9" s="30" t="s">
        <v>315</v>
      </c>
      <c r="AE9" s="39">
        <v>1.0</v>
      </c>
    </row>
    <row r="10">
      <c r="A10" s="39" t="s">
        <v>3968</v>
      </c>
      <c r="B10" s="39" t="s">
        <v>3964</v>
      </c>
      <c r="C10" s="39" t="s">
        <v>3965</v>
      </c>
      <c r="D10" s="39" t="s">
        <v>3950</v>
      </c>
      <c r="E10" s="39" t="s">
        <v>10</v>
      </c>
      <c r="F10" s="39" t="s">
        <v>64</v>
      </c>
      <c r="G10" s="41" t="s">
        <v>3969</v>
      </c>
      <c r="N10" s="39" t="s">
        <v>81</v>
      </c>
      <c r="O10" s="39" t="s">
        <v>68</v>
      </c>
      <c r="Q10" s="39">
        <v>1.0</v>
      </c>
      <c r="R10" s="39">
        <v>0.0</v>
      </c>
      <c r="S10" s="39">
        <v>0.0</v>
      </c>
      <c r="T10" s="39">
        <v>0.0</v>
      </c>
      <c r="AE10" s="39">
        <v>1.0</v>
      </c>
    </row>
    <row r="11">
      <c r="A11" s="39" t="s">
        <v>3970</v>
      </c>
      <c r="B11" s="39" t="s">
        <v>3964</v>
      </c>
      <c r="C11" s="39" t="s">
        <v>3965</v>
      </c>
      <c r="D11" s="39" t="s">
        <v>3950</v>
      </c>
      <c r="E11" s="39" t="s">
        <v>10</v>
      </c>
      <c r="F11" s="39" t="s">
        <v>64</v>
      </c>
      <c r="G11" s="41" t="s">
        <v>3971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AE11" s="39">
        <v>1.0</v>
      </c>
    </row>
    <row r="12">
      <c r="A12" s="39" t="s">
        <v>3972</v>
      </c>
      <c r="D12" s="39" t="s">
        <v>3950</v>
      </c>
      <c r="E12" s="39" t="s">
        <v>10</v>
      </c>
      <c r="F12" s="39" t="s">
        <v>64</v>
      </c>
      <c r="G12" s="89">
        <v>46369.0</v>
      </c>
      <c r="H12" s="89">
        <v>46369.0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AE12" s="39">
        <v>1.0</v>
      </c>
    </row>
    <row r="13">
      <c r="A13" s="39" t="s">
        <v>3973</v>
      </c>
      <c r="B13" s="39" t="s">
        <v>3974</v>
      </c>
      <c r="C13" s="39" t="s">
        <v>3975</v>
      </c>
      <c r="D13" s="39" t="s">
        <v>3950</v>
      </c>
      <c r="E13" s="39" t="s">
        <v>10</v>
      </c>
      <c r="F13" s="39" t="s">
        <v>64</v>
      </c>
      <c r="G13" s="90"/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AE13" s="39">
        <v>1.0</v>
      </c>
    </row>
    <row r="14">
      <c r="A14" s="39" t="s">
        <v>3976</v>
      </c>
      <c r="B14" s="39" t="s">
        <v>3974</v>
      </c>
      <c r="C14" s="39" t="s">
        <v>3975</v>
      </c>
      <c r="D14" s="39" t="s">
        <v>3950</v>
      </c>
      <c r="E14" s="39" t="s">
        <v>10</v>
      </c>
      <c r="F14" s="39" t="s">
        <v>64</v>
      </c>
      <c r="G14" s="41" t="s">
        <v>3977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AE14" s="39">
        <v>1.0</v>
      </c>
    </row>
    <row r="15">
      <c r="A15" s="39" t="s">
        <v>3978</v>
      </c>
      <c r="B15" s="39" t="s">
        <v>3974</v>
      </c>
      <c r="C15" s="39" t="s">
        <v>3975</v>
      </c>
      <c r="D15" s="39" t="s">
        <v>3950</v>
      </c>
      <c r="E15" s="39" t="s">
        <v>10</v>
      </c>
      <c r="F15" s="39" t="s">
        <v>64</v>
      </c>
      <c r="G15" s="41" t="s">
        <v>3979</v>
      </c>
      <c r="H15" s="41" t="s">
        <v>3979</v>
      </c>
      <c r="N15" s="39" t="s">
        <v>81</v>
      </c>
      <c r="O15" s="39" t="s">
        <v>68</v>
      </c>
      <c r="Q15" s="39">
        <v>1.0</v>
      </c>
      <c r="R15" s="39">
        <v>0.0</v>
      </c>
      <c r="S15" s="39">
        <v>0.0</v>
      </c>
      <c r="T15" s="39">
        <v>0.0</v>
      </c>
      <c r="AE15" s="39">
        <v>1.0</v>
      </c>
    </row>
    <row r="16">
      <c r="A16" s="39" t="s">
        <v>3980</v>
      </c>
      <c r="B16" s="39" t="s">
        <v>3974</v>
      </c>
      <c r="C16" s="39" t="s">
        <v>3975</v>
      </c>
      <c r="D16" s="39" t="s">
        <v>3950</v>
      </c>
      <c r="E16" s="39" t="s">
        <v>10</v>
      </c>
      <c r="F16" s="39" t="s">
        <v>64</v>
      </c>
      <c r="G16" s="41" t="s">
        <v>3981</v>
      </c>
      <c r="H16" s="41" t="s">
        <v>3981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AE16" s="39">
        <v>1.0</v>
      </c>
    </row>
    <row r="17">
      <c r="A17" s="39" t="s">
        <v>3982</v>
      </c>
      <c r="B17" s="39" t="s">
        <v>3983</v>
      </c>
      <c r="C17" s="39" t="s">
        <v>3984</v>
      </c>
      <c r="D17" s="39" t="s">
        <v>3950</v>
      </c>
      <c r="E17" s="39" t="s">
        <v>10</v>
      </c>
      <c r="F17" s="39" t="s">
        <v>64</v>
      </c>
      <c r="G17" s="41" t="s">
        <v>3985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AE17" s="39">
        <v>1.0</v>
      </c>
    </row>
    <row r="18">
      <c r="A18" s="39" t="s">
        <v>3986</v>
      </c>
      <c r="B18" s="39" t="s">
        <v>3983</v>
      </c>
      <c r="C18" s="39" t="s">
        <v>3984</v>
      </c>
      <c r="D18" s="39" t="s">
        <v>3950</v>
      </c>
      <c r="E18" s="39" t="s">
        <v>10</v>
      </c>
      <c r="F18" s="39" t="s">
        <v>64</v>
      </c>
      <c r="G18" s="41" t="s">
        <v>3987</v>
      </c>
      <c r="H18" s="41" t="s">
        <v>3987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AE18" s="39">
        <v>1.0</v>
      </c>
    </row>
    <row r="19">
      <c r="A19" s="39" t="s">
        <v>3988</v>
      </c>
      <c r="B19" s="39" t="s">
        <v>3983</v>
      </c>
      <c r="C19" s="39" t="s">
        <v>3984</v>
      </c>
      <c r="D19" s="39" t="s">
        <v>3950</v>
      </c>
      <c r="E19" s="39" t="s">
        <v>10</v>
      </c>
      <c r="F19" s="39" t="s">
        <v>64</v>
      </c>
      <c r="G19" s="89">
        <v>46159.0</v>
      </c>
      <c r="H19" s="89">
        <v>46159.0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AE19" s="39">
        <v>1.0</v>
      </c>
    </row>
    <row r="20">
      <c r="A20" s="39" t="s">
        <v>3989</v>
      </c>
      <c r="B20" s="39" t="s">
        <v>3983</v>
      </c>
      <c r="C20" s="39" t="s">
        <v>3984</v>
      </c>
      <c r="D20" s="39" t="s">
        <v>3950</v>
      </c>
      <c r="E20" s="39" t="s">
        <v>10</v>
      </c>
      <c r="F20" s="39" t="s">
        <v>64</v>
      </c>
      <c r="G20" s="41" t="s">
        <v>3990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AE20" s="39">
        <v>1.0</v>
      </c>
    </row>
    <row r="21">
      <c r="A21" s="39" t="s">
        <v>3991</v>
      </c>
      <c r="B21" s="39" t="s">
        <v>3992</v>
      </c>
      <c r="C21" s="39" t="s">
        <v>3993</v>
      </c>
      <c r="D21" s="39" t="s">
        <v>3950</v>
      </c>
      <c r="E21" s="39" t="s">
        <v>10</v>
      </c>
      <c r="F21" s="39" t="s">
        <v>64</v>
      </c>
      <c r="G21" s="41" t="s">
        <v>3994</v>
      </c>
      <c r="H21" s="41" t="s">
        <v>3994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AE21" s="39">
        <v>1.0</v>
      </c>
    </row>
    <row r="22">
      <c r="A22" s="39" t="s">
        <v>3995</v>
      </c>
      <c r="B22" s="39" t="s">
        <v>3992</v>
      </c>
      <c r="C22" s="39" t="s">
        <v>3993</v>
      </c>
      <c r="D22" s="39" t="s">
        <v>3950</v>
      </c>
      <c r="E22" s="39" t="s">
        <v>10</v>
      </c>
      <c r="F22" s="39" t="s">
        <v>64</v>
      </c>
      <c r="G22" s="41" t="s">
        <v>3996</v>
      </c>
      <c r="H22" s="41" t="s">
        <v>3996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AE22" s="39">
        <v>1.0</v>
      </c>
    </row>
    <row r="23">
      <c r="A23" s="39" t="s">
        <v>3997</v>
      </c>
      <c r="B23" s="39" t="s">
        <v>3992</v>
      </c>
      <c r="C23" s="39" t="s">
        <v>3993</v>
      </c>
      <c r="D23" s="39" t="s">
        <v>3950</v>
      </c>
      <c r="E23" s="39" t="s">
        <v>10</v>
      </c>
      <c r="F23" s="39" t="s">
        <v>64</v>
      </c>
      <c r="G23" s="41" t="s">
        <v>3998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AE23" s="39">
        <v>1.0</v>
      </c>
    </row>
    <row r="24">
      <c r="A24" s="39" t="s">
        <v>3999</v>
      </c>
      <c r="B24" s="39" t="s">
        <v>4000</v>
      </c>
      <c r="C24" s="39" t="s">
        <v>4001</v>
      </c>
      <c r="D24" s="39" t="s">
        <v>3950</v>
      </c>
      <c r="E24" s="39" t="s">
        <v>10</v>
      </c>
      <c r="F24" s="39" t="s">
        <v>64</v>
      </c>
      <c r="G24" s="41" t="s">
        <v>4002</v>
      </c>
      <c r="H24" s="41" t="s">
        <v>4002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X24" s="39">
        <v>0.0</v>
      </c>
      <c r="Y24" s="39">
        <v>1.0</v>
      </c>
      <c r="Z24" s="30" t="s">
        <v>4003</v>
      </c>
      <c r="AA24" s="30" t="s">
        <v>97</v>
      </c>
      <c r="AE24" s="39">
        <v>1.0</v>
      </c>
    </row>
    <row r="25">
      <c r="A25" s="39" t="s">
        <v>4004</v>
      </c>
      <c r="B25" s="39" t="s">
        <v>4000</v>
      </c>
      <c r="C25" s="39" t="s">
        <v>4001</v>
      </c>
      <c r="D25" s="39" t="s">
        <v>3950</v>
      </c>
      <c r="E25" s="39" t="s">
        <v>10</v>
      </c>
      <c r="F25" s="39" t="s">
        <v>64</v>
      </c>
      <c r="G25" s="41" t="s">
        <v>4005</v>
      </c>
      <c r="H25" s="41" t="s">
        <v>4005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X25" s="39">
        <v>0.0</v>
      </c>
      <c r="Y25" s="39">
        <v>3.0</v>
      </c>
      <c r="Z25" s="30" t="s">
        <v>4006</v>
      </c>
      <c r="AA25" s="30" t="s">
        <v>266</v>
      </c>
      <c r="AE25" s="39">
        <v>1.0</v>
      </c>
    </row>
    <row r="26">
      <c r="A26" s="39" t="s">
        <v>4007</v>
      </c>
      <c r="B26" s="39" t="s">
        <v>4000</v>
      </c>
      <c r="C26" s="39" t="s">
        <v>4001</v>
      </c>
      <c r="D26" s="39" t="s">
        <v>3950</v>
      </c>
      <c r="E26" s="39" t="s">
        <v>10</v>
      </c>
      <c r="F26" s="39" t="s">
        <v>64</v>
      </c>
      <c r="G26" s="41" t="s">
        <v>4008</v>
      </c>
      <c r="H26" s="41" t="s">
        <v>4008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AE26" s="39">
        <v>1.0</v>
      </c>
    </row>
    <row r="27">
      <c r="A27" s="39" t="s">
        <v>4009</v>
      </c>
      <c r="B27" s="39" t="s">
        <v>4000</v>
      </c>
      <c r="C27" s="39" t="s">
        <v>4001</v>
      </c>
      <c r="D27" s="39" t="s">
        <v>3950</v>
      </c>
      <c r="E27" s="39" t="s">
        <v>10</v>
      </c>
      <c r="F27" s="39" t="s">
        <v>64</v>
      </c>
      <c r="G27" s="41" t="s">
        <v>4010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AE27" s="39">
        <v>1.0</v>
      </c>
    </row>
    <row r="28">
      <c r="A28" s="39" t="s">
        <v>4011</v>
      </c>
      <c r="B28" s="39" t="s">
        <v>4000</v>
      </c>
      <c r="C28" s="39" t="s">
        <v>4001</v>
      </c>
      <c r="D28" s="39" t="s">
        <v>3950</v>
      </c>
      <c r="E28" s="39" t="s">
        <v>10</v>
      </c>
      <c r="F28" s="39" t="s">
        <v>64</v>
      </c>
      <c r="G28" s="41" t="s">
        <v>4012</v>
      </c>
      <c r="H28" s="41" t="s">
        <v>4012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AE28" s="39">
        <v>1.0</v>
      </c>
    </row>
    <row r="29">
      <c r="A29" s="39" t="s">
        <v>4013</v>
      </c>
      <c r="B29" s="39" t="s">
        <v>4000</v>
      </c>
      <c r="C29" s="39" t="s">
        <v>4001</v>
      </c>
      <c r="D29" s="39" t="s">
        <v>3950</v>
      </c>
      <c r="E29" s="39" t="s">
        <v>10</v>
      </c>
      <c r="F29" s="39" t="s">
        <v>64</v>
      </c>
      <c r="G29" s="41" t="s">
        <v>4014</v>
      </c>
      <c r="H29" s="41" t="s">
        <v>4014</v>
      </c>
      <c r="N29" s="39" t="s">
        <v>67</v>
      </c>
      <c r="O29" s="39" t="s">
        <v>68</v>
      </c>
      <c r="Q29" s="39">
        <v>0.0</v>
      </c>
      <c r="R29" s="39">
        <v>0.0</v>
      </c>
      <c r="S29" s="39">
        <v>1.0</v>
      </c>
      <c r="T29" s="39">
        <v>0.0</v>
      </c>
      <c r="AE29" s="39">
        <v>1.0</v>
      </c>
    </row>
    <row r="30">
      <c r="A30" s="39" t="s">
        <v>4015</v>
      </c>
      <c r="B30" s="39" t="s">
        <v>4000</v>
      </c>
      <c r="C30" s="39" t="s">
        <v>4001</v>
      </c>
      <c r="D30" s="39" t="s">
        <v>3950</v>
      </c>
      <c r="E30" s="39" t="s">
        <v>10</v>
      </c>
      <c r="F30" s="39" t="s">
        <v>64</v>
      </c>
      <c r="G30" s="41" t="s">
        <v>4016</v>
      </c>
      <c r="H30" s="41" t="s">
        <v>4016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AE30" s="39">
        <v>1.0</v>
      </c>
    </row>
    <row r="31">
      <c r="A31" s="39" t="s">
        <v>4017</v>
      </c>
      <c r="B31" s="39" t="s">
        <v>4018</v>
      </c>
      <c r="C31" s="39" t="s">
        <v>4019</v>
      </c>
      <c r="D31" s="39" t="s">
        <v>3950</v>
      </c>
      <c r="E31" s="39" t="s">
        <v>10</v>
      </c>
      <c r="F31" s="39" t="s">
        <v>64</v>
      </c>
      <c r="G31" s="89">
        <v>46379.0</v>
      </c>
      <c r="H31" s="89">
        <v>46379.0</v>
      </c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AE31" s="39">
        <v>1.0</v>
      </c>
    </row>
    <row r="32">
      <c r="A32" s="39" t="s">
        <v>4020</v>
      </c>
      <c r="D32" s="39" t="s">
        <v>3950</v>
      </c>
      <c r="E32" s="39" t="s">
        <v>10</v>
      </c>
      <c r="F32" s="39" t="s">
        <v>64</v>
      </c>
      <c r="G32" s="41" t="s">
        <v>4021</v>
      </c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AE32" s="39">
        <v>1.0</v>
      </c>
    </row>
    <row r="33">
      <c r="A33" s="39" t="s">
        <v>4022</v>
      </c>
      <c r="D33" s="39" t="s">
        <v>3950</v>
      </c>
      <c r="E33" s="39" t="s">
        <v>10</v>
      </c>
      <c r="F33" s="39" t="s">
        <v>64</v>
      </c>
      <c r="G33" s="41" t="s">
        <v>4023</v>
      </c>
      <c r="H33" s="41" t="s">
        <v>4023</v>
      </c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AE33" s="39">
        <v>1.0</v>
      </c>
    </row>
    <row r="34">
      <c r="A34" s="39" t="s">
        <v>4024</v>
      </c>
      <c r="D34" s="39" t="s">
        <v>3950</v>
      </c>
      <c r="E34" s="39" t="s">
        <v>10</v>
      </c>
      <c r="F34" s="39" t="s">
        <v>64</v>
      </c>
      <c r="G34" s="41" t="s">
        <v>4025</v>
      </c>
      <c r="H34" s="41" t="s">
        <v>4025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AE34" s="39">
        <v>1.0</v>
      </c>
    </row>
    <row r="35">
      <c r="A35" s="39" t="s">
        <v>4026</v>
      </c>
      <c r="B35" s="39" t="s">
        <v>4027</v>
      </c>
      <c r="C35" s="39" t="s">
        <v>4028</v>
      </c>
      <c r="D35" s="39" t="s">
        <v>3950</v>
      </c>
      <c r="E35" s="39" t="s">
        <v>10</v>
      </c>
      <c r="F35" s="39" t="s">
        <v>64</v>
      </c>
      <c r="G35" s="41" t="s">
        <v>4029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AE35" s="39">
        <v>1.0</v>
      </c>
    </row>
    <row r="36">
      <c r="A36" s="39" t="s">
        <v>4030</v>
      </c>
      <c r="B36" s="39" t="s">
        <v>4031</v>
      </c>
      <c r="C36" s="39" t="s">
        <v>4032</v>
      </c>
      <c r="D36" s="39" t="s">
        <v>3950</v>
      </c>
      <c r="E36" s="39" t="s">
        <v>10</v>
      </c>
      <c r="F36" s="39" t="s">
        <v>64</v>
      </c>
      <c r="G36" s="41" t="s">
        <v>4033</v>
      </c>
      <c r="H36" s="41" t="s">
        <v>4033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X36" s="39">
        <v>0.0</v>
      </c>
      <c r="Y36" s="39">
        <v>1.0</v>
      </c>
      <c r="Z36" s="30" t="s">
        <v>1100</v>
      </c>
      <c r="AA36" s="30" t="s">
        <v>97</v>
      </c>
      <c r="AE36" s="39">
        <v>1.0</v>
      </c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39" t="s">
        <v>377</v>
      </c>
      <c r="B1" s="39" t="s">
        <v>378</v>
      </c>
    </row>
    <row r="2">
      <c r="A2" s="39" t="s">
        <v>4034</v>
      </c>
      <c r="B2" s="39" t="s">
        <v>1228</v>
      </c>
    </row>
    <row r="3">
      <c r="A3" s="39" t="s">
        <v>4035</v>
      </c>
      <c r="B3" s="39" t="s">
        <v>3961</v>
      </c>
    </row>
    <row r="4">
      <c r="A4" s="39" t="s">
        <v>4036</v>
      </c>
      <c r="B4" s="39" t="s">
        <v>4037</v>
      </c>
    </row>
    <row r="5">
      <c r="A5" s="39" t="s">
        <v>4038</v>
      </c>
      <c r="B5" s="39" t="s">
        <v>3976</v>
      </c>
    </row>
    <row r="6">
      <c r="A6" s="39" t="s">
        <v>4039</v>
      </c>
      <c r="B6" s="39" t="s">
        <v>3982</v>
      </c>
    </row>
    <row r="7">
      <c r="A7" s="39" t="s">
        <v>4040</v>
      </c>
      <c r="B7" s="39" t="s">
        <v>3989</v>
      </c>
    </row>
    <row r="8">
      <c r="A8" s="39" t="s">
        <v>4041</v>
      </c>
      <c r="B8" s="39" t="s">
        <v>3997</v>
      </c>
    </row>
    <row r="9">
      <c r="A9" s="39" t="s">
        <v>4042</v>
      </c>
      <c r="B9" s="39" t="s">
        <v>4009</v>
      </c>
    </row>
    <row r="10">
      <c r="A10" s="39" t="s">
        <v>4043</v>
      </c>
      <c r="B10" s="39" t="s">
        <v>4020</v>
      </c>
    </row>
    <row r="11">
      <c r="A11" s="39" t="s">
        <v>4044</v>
      </c>
      <c r="B11" s="39" t="s">
        <v>4026</v>
      </c>
    </row>
    <row r="12">
      <c r="A12" s="39" t="s">
        <v>4045</v>
      </c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23</v>
      </c>
      <c r="B2" s="39" t="s">
        <v>10</v>
      </c>
      <c r="C2" s="39" t="s">
        <v>64</v>
      </c>
      <c r="D2" s="41" t="s">
        <v>4046</v>
      </c>
      <c r="E2" s="41" t="s">
        <v>4047</v>
      </c>
      <c r="H2" s="39">
        <v>50.0</v>
      </c>
      <c r="O2" s="39" t="s">
        <v>3959</v>
      </c>
    </row>
    <row r="3">
      <c r="A3" s="39" t="s">
        <v>23</v>
      </c>
      <c r="B3" s="39" t="s">
        <v>10</v>
      </c>
      <c r="C3" s="39" t="s">
        <v>64</v>
      </c>
      <c r="D3" s="41" t="s">
        <v>4048</v>
      </c>
      <c r="E3" s="91">
        <v>46247.0</v>
      </c>
      <c r="H3" s="39">
        <v>50.0</v>
      </c>
      <c r="O3" s="39" t="s">
        <v>3968</v>
      </c>
    </row>
    <row r="4">
      <c r="A4" s="39" t="s">
        <v>23</v>
      </c>
      <c r="B4" s="39" t="s">
        <v>10</v>
      </c>
      <c r="C4" s="39" t="s">
        <v>64</v>
      </c>
      <c r="D4" s="89">
        <v>46309.0</v>
      </c>
      <c r="E4" s="89">
        <v>46370.0</v>
      </c>
      <c r="H4" s="39">
        <v>35.0</v>
      </c>
      <c r="O4" s="39" t="s">
        <v>3976</v>
      </c>
    </row>
    <row r="5">
      <c r="A5" s="39" t="s">
        <v>23</v>
      </c>
      <c r="B5" s="39" t="s">
        <v>10</v>
      </c>
      <c r="C5" s="39" t="s">
        <v>64</v>
      </c>
      <c r="D5" s="89">
        <v>46037.0</v>
      </c>
      <c r="E5" s="89">
        <v>46069.0</v>
      </c>
      <c r="H5" s="39">
        <v>40.0</v>
      </c>
      <c r="O5" s="39" t="s">
        <v>3978</v>
      </c>
    </row>
    <row r="6">
      <c r="A6" s="39" t="s">
        <v>23</v>
      </c>
      <c r="B6" s="39" t="s">
        <v>10</v>
      </c>
      <c r="C6" s="39" t="s">
        <v>64</v>
      </c>
      <c r="D6" s="89">
        <v>46128.0</v>
      </c>
      <c r="E6" s="89">
        <v>46281.0</v>
      </c>
      <c r="H6" s="39">
        <v>65.0</v>
      </c>
      <c r="O6" s="39" t="s">
        <v>3982</v>
      </c>
    </row>
    <row r="7">
      <c r="A7" s="39" t="s">
        <v>23</v>
      </c>
      <c r="B7" s="39" t="s">
        <v>10</v>
      </c>
      <c r="C7" s="39" t="s">
        <v>64</v>
      </c>
      <c r="D7" s="41" t="s">
        <v>4049</v>
      </c>
      <c r="E7" s="89">
        <v>46224.0</v>
      </c>
      <c r="H7" s="39">
        <v>50.0</v>
      </c>
      <c r="O7" s="39" t="s">
        <v>4004</v>
      </c>
    </row>
    <row r="8">
      <c r="A8" s="39" t="s">
        <v>23</v>
      </c>
      <c r="B8" s="39" t="s">
        <v>10</v>
      </c>
      <c r="C8" s="39" t="s">
        <v>64</v>
      </c>
      <c r="D8" s="91">
        <v>46259.0</v>
      </c>
      <c r="E8" s="89">
        <v>46320.0</v>
      </c>
      <c r="H8" s="39">
        <v>75.0</v>
      </c>
      <c r="O8" s="39" t="s">
        <v>4030</v>
      </c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4050</v>
      </c>
      <c r="B2" s="39" t="s">
        <v>4031</v>
      </c>
      <c r="C2" s="39" t="s">
        <v>4032</v>
      </c>
      <c r="D2" s="39" t="s">
        <v>22</v>
      </c>
      <c r="E2" s="39" t="s">
        <v>11</v>
      </c>
      <c r="F2" s="39" t="s">
        <v>397</v>
      </c>
      <c r="G2" s="41" t="s">
        <v>4051</v>
      </c>
      <c r="H2" s="70"/>
      <c r="N2" s="39" t="s">
        <v>81</v>
      </c>
      <c r="O2" s="39" t="s">
        <v>68</v>
      </c>
      <c r="Q2" s="39">
        <v>1.0</v>
      </c>
      <c r="R2" s="39">
        <v>0.0</v>
      </c>
      <c r="S2" s="39">
        <v>0.0</v>
      </c>
      <c r="T2" s="39">
        <v>0.0</v>
      </c>
      <c r="AE2" s="39">
        <v>1.0</v>
      </c>
    </row>
    <row r="3">
      <c r="A3" s="39" t="s">
        <v>4052</v>
      </c>
      <c r="B3" s="39" t="s">
        <v>4031</v>
      </c>
      <c r="C3" s="39" t="s">
        <v>4032</v>
      </c>
      <c r="D3" s="39" t="s">
        <v>22</v>
      </c>
      <c r="E3" s="39" t="s">
        <v>11</v>
      </c>
      <c r="F3" s="39" t="s">
        <v>397</v>
      </c>
      <c r="G3" s="41" t="s">
        <v>4053</v>
      </c>
      <c r="H3" s="70"/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AE3" s="39">
        <v>1.0</v>
      </c>
    </row>
    <row r="4">
      <c r="A4" s="39" t="s">
        <v>4054</v>
      </c>
      <c r="B4" s="39" t="s">
        <v>4031</v>
      </c>
      <c r="C4" s="39" t="s">
        <v>4032</v>
      </c>
      <c r="D4" s="39" t="s">
        <v>22</v>
      </c>
      <c r="E4" s="39" t="s">
        <v>11</v>
      </c>
      <c r="F4" s="39" t="s">
        <v>397</v>
      </c>
      <c r="G4" s="41" t="s">
        <v>4055</v>
      </c>
      <c r="H4" s="41" t="s">
        <v>4055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AE4" s="39">
        <v>1.0</v>
      </c>
    </row>
    <row r="5">
      <c r="A5" s="39" t="s">
        <v>4056</v>
      </c>
      <c r="D5" s="39" t="s">
        <v>22</v>
      </c>
      <c r="E5" s="39" t="s">
        <v>11</v>
      </c>
      <c r="F5" s="39" t="s">
        <v>397</v>
      </c>
      <c r="G5" s="41" t="s">
        <v>4057</v>
      </c>
      <c r="H5" s="41" t="s">
        <v>4057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AE5" s="39">
        <v>1.0</v>
      </c>
    </row>
    <row r="6">
      <c r="A6" s="39" t="s">
        <v>4058</v>
      </c>
      <c r="D6" s="39" t="s">
        <v>22</v>
      </c>
      <c r="E6" s="39" t="s">
        <v>11</v>
      </c>
      <c r="F6" s="39" t="s">
        <v>397</v>
      </c>
      <c r="G6" s="41" t="s">
        <v>4059</v>
      </c>
      <c r="H6" s="70"/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AE6" s="39">
        <v>1.0</v>
      </c>
    </row>
    <row r="7">
      <c r="A7" s="39" t="s">
        <v>4060</v>
      </c>
      <c r="D7" s="39" t="s">
        <v>22</v>
      </c>
      <c r="E7" s="39" t="s">
        <v>11</v>
      </c>
      <c r="F7" s="39" t="s">
        <v>397</v>
      </c>
      <c r="G7" s="41" t="s">
        <v>4061</v>
      </c>
      <c r="H7" s="41" t="s">
        <v>4061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AE7" s="39">
        <v>1.0</v>
      </c>
    </row>
    <row r="8">
      <c r="A8" s="39" t="s">
        <v>4062</v>
      </c>
      <c r="D8" s="39" t="s">
        <v>22</v>
      </c>
      <c r="E8" s="39" t="s">
        <v>11</v>
      </c>
      <c r="F8" s="39" t="s">
        <v>397</v>
      </c>
      <c r="G8" s="41" t="s">
        <v>4063</v>
      </c>
      <c r="H8" s="41" t="s">
        <v>4063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AE8" s="39">
        <v>1.0</v>
      </c>
    </row>
    <row r="9">
      <c r="A9" s="39" t="s">
        <v>4064</v>
      </c>
      <c r="D9" s="39" t="s">
        <v>22</v>
      </c>
      <c r="E9" s="39" t="s">
        <v>11</v>
      </c>
      <c r="F9" s="39" t="s">
        <v>397</v>
      </c>
      <c r="G9" s="41" t="s">
        <v>4065</v>
      </c>
      <c r="H9" s="70"/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AE9" s="39">
        <v>1.0</v>
      </c>
    </row>
    <row r="10">
      <c r="A10" s="39" t="s">
        <v>4066</v>
      </c>
      <c r="D10" s="39" t="s">
        <v>22</v>
      </c>
      <c r="E10" s="39" t="s">
        <v>11</v>
      </c>
      <c r="F10" s="39" t="s">
        <v>397</v>
      </c>
      <c r="G10" s="41" t="s">
        <v>4067</v>
      </c>
      <c r="H10" s="41" t="s">
        <v>4067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AE10" s="39">
        <v>1.0</v>
      </c>
    </row>
    <row r="11">
      <c r="A11" s="39" t="s">
        <v>4068</v>
      </c>
      <c r="D11" s="39" t="s">
        <v>22</v>
      </c>
      <c r="E11" s="39" t="s">
        <v>11</v>
      </c>
      <c r="F11" s="39" t="s">
        <v>397</v>
      </c>
      <c r="G11" s="41" t="s">
        <v>4069</v>
      </c>
      <c r="H11" s="41" t="s">
        <v>4069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AE11" s="39">
        <v>1.0</v>
      </c>
    </row>
    <row r="12">
      <c r="A12" s="39" t="s">
        <v>4070</v>
      </c>
      <c r="B12" s="39" t="s">
        <v>4000</v>
      </c>
      <c r="C12" s="39" t="s">
        <v>4001</v>
      </c>
      <c r="D12" s="39" t="s">
        <v>22</v>
      </c>
      <c r="E12" s="39" t="s">
        <v>11</v>
      </c>
      <c r="F12" s="39" t="s">
        <v>397</v>
      </c>
      <c r="G12" s="41" t="s">
        <v>4071</v>
      </c>
      <c r="H12" s="41" t="s">
        <v>4071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AE12" s="39">
        <v>1.0</v>
      </c>
    </row>
    <row r="13">
      <c r="A13" s="39" t="s">
        <v>4072</v>
      </c>
      <c r="B13" s="39" t="s">
        <v>4000</v>
      </c>
      <c r="C13" s="39" t="s">
        <v>4001</v>
      </c>
      <c r="D13" s="39" t="s">
        <v>22</v>
      </c>
      <c r="E13" s="39" t="s">
        <v>11</v>
      </c>
      <c r="F13" s="39" t="s">
        <v>397</v>
      </c>
      <c r="G13" s="41" t="s">
        <v>4073</v>
      </c>
      <c r="H13" s="41" t="s">
        <v>4073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AE13" s="39">
        <v>1.0</v>
      </c>
    </row>
    <row r="14">
      <c r="A14" s="39" t="s">
        <v>4074</v>
      </c>
      <c r="B14" s="39" t="s">
        <v>4000</v>
      </c>
      <c r="C14" s="39" t="s">
        <v>4001</v>
      </c>
      <c r="D14" s="39" t="s">
        <v>22</v>
      </c>
      <c r="E14" s="39" t="s">
        <v>11</v>
      </c>
      <c r="F14" s="39" t="s">
        <v>397</v>
      </c>
      <c r="G14" s="41" t="s">
        <v>4075</v>
      </c>
      <c r="H14" s="70"/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AE14" s="39">
        <v>1.0</v>
      </c>
    </row>
    <row r="15">
      <c r="A15" s="39" t="s">
        <v>4076</v>
      </c>
      <c r="B15" s="39" t="s">
        <v>4000</v>
      </c>
      <c r="C15" s="39" t="s">
        <v>4001</v>
      </c>
      <c r="D15" s="39" t="s">
        <v>22</v>
      </c>
      <c r="E15" s="39" t="s">
        <v>11</v>
      </c>
      <c r="F15" s="39" t="s">
        <v>397</v>
      </c>
      <c r="G15" s="41" t="s">
        <v>4010</v>
      </c>
      <c r="H15" s="70"/>
      <c r="N15" s="39" t="s">
        <v>81</v>
      </c>
      <c r="O15" s="39" t="s">
        <v>68</v>
      </c>
      <c r="Q15" s="39">
        <v>1.0</v>
      </c>
      <c r="R15" s="39">
        <v>0.0</v>
      </c>
      <c r="S15" s="39">
        <v>0.0</v>
      </c>
      <c r="T15" s="39">
        <v>0.0</v>
      </c>
      <c r="AE15" s="39">
        <v>1.0</v>
      </c>
    </row>
    <row r="16">
      <c r="A16" s="39" t="s">
        <v>4077</v>
      </c>
      <c r="B16" s="39" t="s">
        <v>4000</v>
      </c>
      <c r="C16" s="39" t="s">
        <v>4001</v>
      </c>
      <c r="D16" s="39" t="s">
        <v>22</v>
      </c>
      <c r="E16" s="39" t="s">
        <v>11</v>
      </c>
      <c r="F16" s="39" t="s">
        <v>397</v>
      </c>
      <c r="G16" s="41" t="s">
        <v>4049</v>
      </c>
      <c r="H16" s="41" t="s">
        <v>4049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AE16" s="39">
        <v>1.0</v>
      </c>
    </row>
    <row r="17">
      <c r="A17" s="39" t="s">
        <v>4078</v>
      </c>
      <c r="D17" s="39" t="s">
        <v>22</v>
      </c>
      <c r="E17" s="39" t="s">
        <v>11</v>
      </c>
      <c r="F17" s="39" t="s">
        <v>397</v>
      </c>
      <c r="G17" s="41" t="s">
        <v>4079</v>
      </c>
      <c r="H17" s="41" t="s">
        <v>4079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AE17" s="39">
        <v>1.0</v>
      </c>
    </row>
    <row r="18">
      <c r="A18" s="39" t="s">
        <v>4080</v>
      </c>
      <c r="D18" s="39" t="s">
        <v>22</v>
      </c>
      <c r="E18" s="39" t="s">
        <v>11</v>
      </c>
      <c r="F18" s="39" t="s">
        <v>397</v>
      </c>
      <c r="G18" s="41" t="s">
        <v>4081</v>
      </c>
      <c r="H18" s="70"/>
      <c r="N18" s="39" t="s">
        <v>81</v>
      </c>
      <c r="O18" s="39" t="s">
        <v>68</v>
      </c>
      <c r="Q18" s="39">
        <v>1.0</v>
      </c>
      <c r="R18" s="39">
        <v>0.0</v>
      </c>
      <c r="S18" s="39">
        <v>0.0</v>
      </c>
      <c r="T18" s="39">
        <v>0.0</v>
      </c>
      <c r="AE18" s="39">
        <v>1.0</v>
      </c>
    </row>
    <row r="19">
      <c r="A19" s="39" t="s">
        <v>4082</v>
      </c>
      <c r="D19" s="39" t="s">
        <v>22</v>
      </c>
      <c r="E19" s="39" t="s">
        <v>11</v>
      </c>
      <c r="F19" s="39" t="s">
        <v>397</v>
      </c>
      <c r="G19" s="41" t="s">
        <v>4083</v>
      </c>
      <c r="H19" s="41" t="s">
        <v>4083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AE19" s="39">
        <v>1.0</v>
      </c>
    </row>
    <row r="20">
      <c r="A20" s="39" t="s">
        <v>4084</v>
      </c>
      <c r="D20" s="39" t="s">
        <v>22</v>
      </c>
      <c r="E20" s="39" t="s">
        <v>11</v>
      </c>
      <c r="F20" s="39" t="s">
        <v>397</v>
      </c>
      <c r="G20" s="41" t="s">
        <v>4085</v>
      </c>
      <c r="H20" s="41" t="s">
        <v>4085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AE20" s="39">
        <v>1.0</v>
      </c>
    </row>
    <row r="21">
      <c r="A21" s="39" t="s">
        <v>4086</v>
      </c>
      <c r="D21" s="39" t="s">
        <v>22</v>
      </c>
      <c r="E21" s="39" t="s">
        <v>11</v>
      </c>
      <c r="F21" s="39" t="s">
        <v>397</v>
      </c>
      <c r="G21" s="41" t="s">
        <v>4087</v>
      </c>
      <c r="H21" s="70"/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AE21" s="39">
        <v>1.0</v>
      </c>
    </row>
    <row r="22">
      <c r="A22" s="39" t="s">
        <v>4088</v>
      </c>
      <c r="D22" s="39" t="s">
        <v>22</v>
      </c>
      <c r="E22" s="39" t="s">
        <v>11</v>
      </c>
      <c r="F22" s="39" t="s">
        <v>397</v>
      </c>
      <c r="G22" s="41" t="s">
        <v>4089</v>
      </c>
      <c r="H22" s="41" t="s">
        <v>4089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AE22" s="39">
        <v>1.0</v>
      </c>
    </row>
    <row r="23">
      <c r="A23" s="39" t="s">
        <v>4090</v>
      </c>
      <c r="B23" s="39" t="s">
        <v>3974</v>
      </c>
      <c r="C23" s="39" t="s">
        <v>3975</v>
      </c>
      <c r="D23" s="39" t="s">
        <v>22</v>
      </c>
      <c r="E23" s="39" t="s">
        <v>11</v>
      </c>
      <c r="F23" s="39" t="s">
        <v>397</v>
      </c>
      <c r="G23" s="41" t="s">
        <v>4091</v>
      </c>
      <c r="H23" s="41" t="s">
        <v>4091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AE23" s="39">
        <v>1.0</v>
      </c>
    </row>
    <row r="24">
      <c r="A24" s="39" t="s">
        <v>4092</v>
      </c>
      <c r="B24" s="39" t="s">
        <v>3974</v>
      </c>
      <c r="C24" s="39" t="s">
        <v>3975</v>
      </c>
      <c r="D24" s="39" t="s">
        <v>22</v>
      </c>
      <c r="E24" s="39" t="s">
        <v>11</v>
      </c>
      <c r="F24" s="39" t="s">
        <v>397</v>
      </c>
      <c r="G24" s="41" t="s">
        <v>4093</v>
      </c>
      <c r="H24" s="70"/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X24" s="39">
        <v>1.0</v>
      </c>
      <c r="Y24" s="39">
        <v>1.0</v>
      </c>
      <c r="Z24" s="30" t="s">
        <v>4094</v>
      </c>
      <c r="AA24" s="30" t="s">
        <v>70</v>
      </c>
      <c r="AE24" s="39">
        <v>1.0</v>
      </c>
    </row>
    <row r="25">
      <c r="A25" s="39" t="s">
        <v>4095</v>
      </c>
      <c r="B25" s="39" t="s">
        <v>3974</v>
      </c>
      <c r="C25" s="39" t="s">
        <v>3975</v>
      </c>
      <c r="D25" s="39" t="s">
        <v>22</v>
      </c>
      <c r="E25" s="39" t="s">
        <v>11</v>
      </c>
      <c r="F25" s="39" t="s">
        <v>397</v>
      </c>
      <c r="G25" s="41" t="s">
        <v>4096</v>
      </c>
      <c r="H25" s="41" t="s">
        <v>4096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AE25" s="39">
        <v>1.0</v>
      </c>
    </row>
    <row r="26">
      <c r="A26" s="39" t="s">
        <v>4097</v>
      </c>
      <c r="B26" s="39" t="s">
        <v>3974</v>
      </c>
      <c r="C26" s="39" t="s">
        <v>3975</v>
      </c>
      <c r="D26" s="39" t="s">
        <v>22</v>
      </c>
      <c r="E26" s="39" t="s">
        <v>11</v>
      </c>
      <c r="F26" s="39" t="s">
        <v>397</v>
      </c>
      <c r="G26" s="41" t="s">
        <v>4098</v>
      </c>
      <c r="H26" s="41" t="s">
        <v>4098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AE26" s="39">
        <v>1.0</v>
      </c>
    </row>
    <row r="27">
      <c r="A27" s="39" t="s">
        <v>4099</v>
      </c>
      <c r="B27" s="39" t="s">
        <v>3974</v>
      </c>
      <c r="C27" s="39" t="s">
        <v>3975</v>
      </c>
      <c r="D27" s="39" t="s">
        <v>22</v>
      </c>
      <c r="E27" s="39" t="s">
        <v>11</v>
      </c>
      <c r="F27" s="39" t="s">
        <v>397</v>
      </c>
      <c r="G27" s="41" t="s">
        <v>4100</v>
      </c>
      <c r="H27" s="70"/>
      <c r="N27" s="39" t="s">
        <v>81</v>
      </c>
      <c r="O27" s="39" t="s">
        <v>68</v>
      </c>
      <c r="Q27" s="39">
        <v>1.0</v>
      </c>
      <c r="R27" s="39">
        <v>0.0</v>
      </c>
      <c r="S27" s="39">
        <v>0.0</v>
      </c>
      <c r="T27" s="39">
        <v>0.0</v>
      </c>
      <c r="AE27" s="39">
        <v>1.0</v>
      </c>
    </row>
    <row r="28">
      <c r="A28" s="39" t="s">
        <v>4101</v>
      </c>
      <c r="B28" s="39" t="s">
        <v>3974</v>
      </c>
      <c r="C28" s="39" t="s">
        <v>3975</v>
      </c>
      <c r="D28" s="39" t="s">
        <v>22</v>
      </c>
      <c r="E28" s="39" t="s">
        <v>11</v>
      </c>
      <c r="F28" s="39" t="s">
        <v>397</v>
      </c>
      <c r="G28" s="41" t="s">
        <v>3977</v>
      </c>
      <c r="H28" s="70"/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AE28" s="39">
        <v>1.0</v>
      </c>
    </row>
    <row r="29">
      <c r="A29" s="39" t="s">
        <v>4102</v>
      </c>
      <c r="B29" s="39" t="s">
        <v>3964</v>
      </c>
      <c r="C29" s="39" t="s">
        <v>3965</v>
      </c>
      <c r="D29" s="39" t="s">
        <v>22</v>
      </c>
      <c r="E29" s="39" t="s">
        <v>11</v>
      </c>
      <c r="F29" s="39" t="s">
        <v>397</v>
      </c>
      <c r="G29" s="41" t="s">
        <v>4103</v>
      </c>
      <c r="H29" s="41" t="s">
        <v>4103</v>
      </c>
      <c r="N29" s="39" t="s">
        <v>67</v>
      </c>
      <c r="O29" s="39" t="s">
        <v>68</v>
      </c>
      <c r="Q29" s="39">
        <v>0.0</v>
      </c>
      <c r="R29" s="39">
        <v>0.0</v>
      </c>
      <c r="S29" s="39">
        <v>1.0</v>
      </c>
      <c r="T29" s="39">
        <v>0.0</v>
      </c>
      <c r="X29" s="39">
        <v>1.0</v>
      </c>
      <c r="Y29" s="39">
        <v>0.0</v>
      </c>
      <c r="Z29" s="30" t="s">
        <v>3288</v>
      </c>
      <c r="AA29" s="30" t="s">
        <v>115</v>
      </c>
      <c r="AE29" s="39">
        <v>1.0</v>
      </c>
    </row>
    <row r="30">
      <c r="A30" s="39" t="s">
        <v>4104</v>
      </c>
      <c r="B30" s="39" t="s">
        <v>3964</v>
      </c>
      <c r="C30" s="39" t="s">
        <v>3965</v>
      </c>
      <c r="D30" s="39" t="s">
        <v>22</v>
      </c>
      <c r="E30" s="39" t="s">
        <v>11</v>
      </c>
      <c r="F30" s="39" t="s">
        <v>397</v>
      </c>
      <c r="G30" s="89">
        <v>46216.0</v>
      </c>
      <c r="H30" s="89">
        <v>46216.0</v>
      </c>
      <c r="N30" s="39" t="s">
        <v>67</v>
      </c>
      <c r="O30" s="39" t="s">
        <v>68</v>
      </c>
      <c r="Q30" s="39">
        <v>0.0</v>
      </c>
      <c r="R30" s="39">
        <v>0.0</v>
      </c>
      <c r="S30" s="39">
        <v>1.0</v>
      </c>
      <c r="T30" s="39">
        <v>0.0</v>
      </c>
      <c r="X30" s="39">
        <v>1.0</v>
      </c>
      <c r="Y30" s="39">
        <v>0.0</v>
      </c>
      <c r="Z30" s="30" t="s">
        <v>4105</v>
      </c>
      <c r="AA30" s="30" t="s">
        <v>115</v>
      </c>
      <c r="AE30" s="39">
        <v>1.0</v>
      </c>
    </row>
    <row r="31">
      <c r="A31" s="39" t="s">
        <v>4106</v>
      </c>
      <c r="B31" s="39" t="s">
        <v>3964</v>
      </c>
      <c r="C31" s="39" t="s">
        <v>3965</v>
      </c>
      <c r="D31" s="39" t="s">
        <v>22</v>
      </c>
      <c r="E31" s="39" t="s">
        <v>11</v>
      </c>
      <c r="F31" s="39" t="s">
        <v>397</v>
      </c>
      <c r="G31" s="41" t="s">
        <v>3971</v>
      </c>
      <c r="H31" s="70"/>
      <c r="N31" s="39" t="s">
        <v>67</v>
      </c>
      <c r="O31" s="39" t="s">
        <v>68</v>
      </c>
      <c r="Q31" s="39">
        <v>0.0</v>
      </c>
      <c r="R31" s="39">
        <v>0.0</v>
      </c>
      <c r="S31" s="39">
        <v>1.0</v>
      </c>
      <c r="T31" s="39">
        <v>0.0</v>
      </c>
      <c r="AE31" s="39">
        <v>1.0</v>
      </c>
    </row>
    <row r="32">
      <c r="A32" s="39" t="s">
        <v>4107</v>
      </c>
      <c r="D32" s="39" t="s">
        <v>22</v>
      </c>
      <c r="E32" s="39" t="s">
        <v>11</v>
      </c>
      <c r="F32" s="39" t="s">
        <v>397</v>
      </c>
      <c r="G32" s="41" t="s">
        <v>4108</v>
      </c>
      <c r="H32" s="41" t="s">
        <v>4108</v>
      </c>
      <c r="N32" s="39" t="s">
        <v>67</v>
      </c>
      <c r="O32" s="39" t="s">
        <v>68</v>
      </c>
      <c r="Q32" s="39">
        <v>0.0</v>
      </c>
      <c r="R32" s="39">
        <v>0.0</v>
      </c>
      <c r="S32" s="39">
        <v>1.0</v>
      </c>
      <c r="T32" s="39">
        <v>0.0</v>
      </c>
      <c r="AE32" s="39">
        <v>1.0</v>
      </c>
    </row>
    <row r="33">
      <c r="A33" s="39" t="s">
        <v>4109</v>
      </c>
      <c r="B33" s="39" t="s">
        <v>1225</v>
      </c>
      <c r="C33" s="39" t="s">
        <v>3952</v>
      </c>
      <c r="D33" s="39" t="s">
        <v>22</v>
      </c>
      <c r="E33" s="39" t="s">
        <v>11</v>
      </c>
      <c r="F33" s="39" t="s">
        <v>397</v>
      </c>
      <c r="G33" s="41" t="s">
        <v>4110</v>
      </c>
      <c r="H33" s="70"/>
      <c r="N33" s="39" t="s">
        <v>67</v>
      </c>
      <c r="O33" s="39" t="s">
        <v>68</v>
      </c>
      <c r="Q33" s="39">
        <v>0.0</v>
      </c>
      <c r="R33" s="39">
        <v>0.0</v>
      </c>
      <c r="S33" s="39">
        <v>1.0</v>
      </c>
      <c r="T33" s="39">
        <v>0.0</v>
      </c>
      <c r="AE33" s="39">
        <v>1.0</v>
      </c>
    </row>
    <row r="34">
      <c r="A34" s="39" t="s">
        <v>4111</v>
      </c>
      <c r="B34" s="39" t="s">
        <v>1225</v>
      </c>
      <c r="C34" s="39" t="s">
        <v>3952</v>
      </c>
      <c r="D34" s="39" t="s">
        <v>22</v>
      </c>
      <c r="E34" s="39" t="s">
        <v>11</v>
      </c>
      <c r="F34" s="39" t="s">
        <v>397</v>
      </c>
      <c r="G34" s="41" t="s">
        <v>4112</v>
      </c>
      <c r="H34" s="41" t="s">
        <v>4112</v>
      </c>
      <c r="N34" s="39" t="s">
        <v>67</v>
      </c>
      <c r="O34" s="39" t="s">
        <v>68</v>
      </c>
      <c r="Q34" s="39">
        <v>0.0</v>
      </c>
      <c r="R34" s="39">
        <v>0.0</v>
      </c>
      <c r="S34" s="39">
        <v>1.0</v>
      </c>
      <c r="T34" s="39">
        <v>0.0</v>
      </c>
      <c r="AE34" s="39">
        <v>1.0</v>
      </c>
    </row>
    <row r="35">
      <c r="A35" s="39" t="s">
        <v>4113</v>
      </c>
      <c r="B35" s="39" t="s">
        <v>1225</v>
      </c>
      <c r="C35" s="39" t="s">
        <v>3952</v>
      </c>
      <c r="D35" s="39" t="s">
        <v>22</v>
      </c>
      <c r="E35" s="39" t="s">
        <v>11</v>
      </c>
      <c r="F35" s="39" t="s">
        <v>397</v>
      </c>
      <c r="G35" s="41" t="s">
        <v>4114</v>
      </c>
      <c r="H35" s="41" t="s">
        <v>4114</v>
      </c>
      <c r="N35" s="39" t="s">
        <v>67</v>
      </c>
      <c r="O35" s="39" t="s">
        <v>68</v>
      </c>
      <c r="Q35" s="39">
        <v>0.0</v>
      </c>
      <c r="R35" s="39">
        <v>0.0</v>
      </c>
      <c r="S35" s="39">
        <v>1.0</v>
      </c>
      <c r="T35" s="39">
        <v>0.0</v>
      </c>
      <c r="X35" s="39">
        <v>1.0</v>
      </c>
      <c r="Y35" s="39">
        <v>0.0</v>
      </c>
      <c r="Z35" s="30" t="s">
        <v>4115</v>
      </c>
      <c r="AA35" s="30" t="s">
        <v>115</v>
      </c>
      <c r="AE35" s="39">
        <v>1.0</v>
      </c>
    </row>
    <row r="36">
      <c r="A36" s="20" t="s">
        <v>3602</v>
      </c>
      <c r="B36" s="39" t="s">
        <v>1225</v>
      </c>
      <c r="C36" s="39" t="s">
        <v>3595</v>
      </c>
      <c r="D36" s="39" t="s">
        <v>3647</v>
      </c>
      <c r="E36" s="39" t="s">
        <v>3439</v>
      </c>
      <c r="F36" s="39" t="s">
        <v>397</v>
      </c>
      <c r="G36" s="39" t="s">
        <v>3603</v>
      </c>
      <c r="H36" s="40">
        <v>9.145000000000003</v>
      </c>
      <c r="I36" s="40">
        <v>9.145000000000003</v>
      </c>
      <c r="L36" s="2" t="s">
        <v>66</v>
      </c>
      <c r="N36" s="39" t="s">
        <v>67</v>
      </c>
      <c r="O36" s="39" t="s">
        <v>68</v>
      </c>
      <c r="Q36" s="39">
        <v>0.0</v>
      </c>
      <c r="R36" s="39">
        <v>0.0</v>
      </c>
      <c r="S36" s="39">
        <v>1.0</v>
      </c>
      <c r="T36" s="39">
        <v>0.0</v>
      </c>
      <c r="U36" s="39">
        <v>0.0</v>
      </c>
      <c r="V36" s="39">
        <v>0.0</v>
      </c>
      <c r="W36" s="39">
        <v>1.0</v>
      </c>
      <c r="X36" s="39">
        <v>0.0</v>
      </c>
      <c r="Y36" s="39">
        <v>0.0</v>
      </c>
      <c r="AC36" s="39">
        <v>400.0</v>
      </c>
      <c r="AE36" s="39">
        <v>1.0</v>
      </c>
    </row>
    <row r="37">
      <c r="A37" s="39" t="s">
        <v>4116</v>
      </c>
      <c r="B37" s="39" t="s">
        <v>1225</v>
      </c>
      <c r="C37" s="39" t="s">
        <v>3952</v>
      </c>
      <c r="D37" s="39" t="s">
        <v>22</v>
      </c>
      <c r="E37" s="39" t="s">
        <v>11</v>
      </c>
      <c r="F37" s="39" t="s">
        <v>397</v>
      </c>
      <c r="G37" s="41" t="s">
        <v>3956</v>
      </c>
      <c r="H37" s="70"/>
      <c r="N37" s="39" t="s">
        <v>67</v>
      </c>
      <c r="O37" s="39" t="s">
        <v>68</v>
      </c>
      <c r="Q37" s="39">
        <v>0.0</v>
      </c>
      <c r="R37" s="39">
        <v>0.0</v>
      </c>
      <c r="S37" s="39">
        <v>1.0</v>
      </c>
      <c r="T37" s="39">
        <v>0.0</v>
      </c>
      <c r="AE37" s="39">
        <v>1.0</v>
      </c>
    </row>
    <row r="38">
      <c r="G38" s="70"/>
      <c r="H38" s="70"/>
    </row>
    <row r="39">
      <c r="G39" s="70"/>
      <c r="H39" s="70"/>
    </row>
    <row r="40">
      <c r="G40" s="70"/>
      <c r="H40" s="70"/>
    </row>
    <row r="41">
      <c r="G41" s="70"/>
      <c r="H41" s="70"/>
    </row>
    <row r="42">
      <c r="G42" s="70"/>
      <c r="H42" s="70"/>
    </row>
    <row r="43">
      <c r="G43" s="70"/>
      <c r="H43" s="70"/>
    </row>
    <row r="44">
      <c r="G44" s="70"/>
      <c r="H44" s="70"/>
    </row>
    <row r="45">
      <c r="G45" s="70"/>
      <c r="H45" s="70"/>
    </row>
    <row r="46">
      <c r="G46" s="70"/>
      <c r="H46" s="70"/>
    </row>
    <row r="47">
      <c r="G47" s="70"/>
      <c r="H47" s="70"/>
    </row>
    <row r="48">
      <c r="G48" s="70"/>
      <c r="H48" s="70"/>
    </row>
    <row r="49">
      <c r="G49" s="70"/>
      <c r="H49" s="70"/>
    </row>
    <row r="50">
      <c r="G50" s="70"/>
      <c r="H50" s="70"/>
    </row>
    <row r="51">
      <c r="G51" s="70"/>
      <c r="H51" s="70"/>
    </row>
    <row r="52">
      <c r="G52" s="70"/>
      <c r="H52" s="70"/>
    </row>
    <row r="53">
      <c r="G53" s="70"/>
      <c r="H53" s="70"/>
    </row>
    <row r="54">
      <c r="G54" s="70"/>
      <c r="H54" s="70"/>
    </row>
    <row r="55">
      <c r="G55" s="70"/>
      <c r="H55" s="70"/>
    </row>
    <row r="56">
      <c r="G56" s="70"/>
      <c r="H56" s="70"/>
    </row>
    <row r="57">
      <c r="G57" s="70"/>
      <c r="H57" s="70"/>
    </row>
    <row r="58">
      <c r="G58" s="70"/>
      <c r="H58" s="70"/>
    </row>
    <row r="59">
      <c r="G59" s="70"/>
      <c r="H59" s="70"/>
    </row>
    <row r="60">
      <c r="G60" s="70"/>
      <c r="H60" s="70"/>
    </row>
    <row r="61">
      <c r="G61" s="70"/>
      <c r="H61" s="70"/>
    </row>
    <row r="62">
      <c r="G62" s="70"/>
      <c r="H62" s="70"/>
    </row>
    <row r="63">
      <c r="G63" s="70"/>
      <c r="H63" s="70"/>
    </row>
    <row r="64">
      <c r="G64" s="70"/>
      <c r="H64" s="70"/>
    </row>
    <row r="65">
      <c r="G65" s="70"/>
      <c r="H65" s="70"/>
    </row>
    <row r="66">
      <c r="G66" s="70"/>
      <c r="H66" s="70"/>
    </row>
    <row r="67">
      <c r="G67" s="70"/>
      <c r="H67" s="70"/>
    </row>
    <row r="68">
      <c r="G68" s="70"/>
      <c r="H68" s="70"/>
    </row>
    <row r="69">
      <c r="G69" s="70"/>
      <c r="H69" s="70"/>
    </row>
    <row r="70">
      <c r="G70" s="70"/>
      <c r="H70" s="70"/>
    </row>
    <row r="71">
      <c r="G71" s="70"/>
      <c r="H71" s="70"/>
    </row>
    <row r="72">
      <c r="G72" s="70"/>
      <c r="H72" s="70"/>
    </row>
    <row r="73">
      <c r="G73" s="70"/>
      <c r="H73" s="70"/>
    </row>
    <row r="74">
      <c r="G74" s="70"/>
      <c r="H74" s="70"/>
    </row>
    <row r="75">
      <c r="G75" s="70"/>
      <c r="H75" s="70"/>
    </row>
    <row r="76">
      <c r="G76" s="70"/>
      <c r="H76" s="70"/>
    </row>
    <row r="77">
      <c r="G77" s="70"/>
      <c r="H77" s="70"/>
    </row>
    <row r="78">
      <c r="G78" s="70"/>
      <c r="H78" s="70"/>
    </row>
    <row r="79">
      <c r="G79" s="70"/>
      <c r="H79" s="70"/>
    </row>
    <row r="80">
      <c r="G80" s="70"/>
      <c r="H80" s="70"/>
    </row>
    <row r="81">
      <c r="G81" s="70"/>
      <c r="H81" s="70"/>
    </row>
    <row r="82">
      <c r="G82" s="70"/>
      <c r="H82" s="70"/>
    </row>
    <row r="83">
      <c r="G83" s="70"/>
      <c r="H83" s="70"/>
    </row>
    <row r="84">
      <c r="G84" s="70"/>
      <c r="H84" s="70"/>
    </row>
    <row r="85">
      <c r="G85" s="70"/>
      <c r="H85" s="70"/>
    </row>
    <row r="86">
      <c r="G86" s="70"/>
      <c r="H86" s="70"/>
    </row>
    <row r="87">
      <c r="G87" s="70"/>
      <c r="H87" s="70"/>
    </row>
    <row r="88">
      <c r="G88" s="70"/>
      <c r="H88" s="70"/>
    </row>
    <row r="89">
      <c r="G89" s="70"/>
      <c r="H89" s="70"/>
    </row>
    <row r="90">
      <c r="G90" s="70"/>
      <c r="H90" s="70"/>
    </row>
    <row r="91">
      <c r="G91" s="70"/>
      <c r="H91" s="70"/>
    </row>
    <row r="92">
      <c r="G92" s="70"/>
      <c r="H92" s="70"/>
    </row>
    <row r="93">
      <c r="G93" s="70"/>
      <c r="H93" s="70"/>
    </row>
    <row r="94">
      <c r="G94" s="70"/>
      <c r="H94" s="70"/>
    </row>
    <row r="95">
      <c r="G95" s="70"/>
      <c r="H95" s="70"/>
    </row>
    <row r="96">
      <c r="G96" s="70"/>
      <c r="H96" s="70"/>
    </row>
    <row r="97">
      <c r="G97" s="70"/>
      <c r="H97" s="70"/>
    </row>
    <row r="98">
      <c r="G98" s="70"/>
      <c r="H98" s="70"/>
    </row>
    <row r="99">
      <c r="G99" s="70"/>
      <c r="H99" s="70"/>
    </row>
    <row r="100">
      <c r="G100" s="70"/>
      <c r="H100" s="70"/>
    </row>
    <row r="101">
      <c r="G101" s="70"/>
      <c r="H101" s="70"/>
    </row>
    <row r="102">
      <c r="G102" s="70"/>
      <c r="H102" s="70"/>
    </row>
    <row r="103">
      <c r="G103" s="70"/>
      <c r="H103" s="70"/>
    </row>
    <row r="104">
      <c r="G104" s="70"/>
      <c r="H104" s="70"/>
    </row>
    <row r="105">
      <c r="G105" s="70"/>
      <c r="H105" s="70"/>
    </row>
    <row r="106">
      <c r="G106" s="70"/>
      <c r="H106" s="70"/>
    </row>
    <row r="107">
      <c r="G107" s="70"/>
      <c r="H107" s="70"/>
    </row>
    <row r="108">
      <c r="G108" s="70"/>
      <c r="H108" s="70"/>
    </row>
    <row r="109">
      <c r="G109" s="70"/>
      <c r="H109" s="70"/>
    </row>
    <row r="110">
      <c r="G110" s="70"/>
      <c r="H110" s="70"/>
    </row>
    <row r="111">
      <c r="G111" s="70"/>
      <c r="H111" s="70"/>
    </row>
    <row r="112">
      <c r="G112" s="70"/>
      <c r="H112" s="70"/>
    </row>
    <row r="113">
      <c r="G113" s="70"/>
      <c r="H113" s="70"/>
    </row>
    <row r="114">
      <c r="G114" s="70"/>
      <c r="H114" s="70"/>
    </row>
    <row r="115">
      <c r="G115" s="70"/>
      <c r="H115" s="70"/>
    </row>
    <row r="116">
      <c r="G116" s="70"/>
      <c r="H116" s="70"/>
    </row>
    <row r="117">
      <c r="G117" s="70"/>
      <c r="H117" s="70"/>
    </row>
    <row r="118">
      <c r="G118" s="70"/>
      <c r="H118" s="70"/>
    </row>
    <row r="119">
      <c r="G119" s="70"/>
      <c r="H119" s="70"/>
    </row>
    <row r="120">
      <c r="G120" s="70"/>
      <c r="H120" s="70"/>
    </row>
    <row r="121">
      <c r="G121" s="70"/>
      <c r="H121" s="70"/>
    </row>
    <row r="122">
      <c r="G122" s="70"/>
      <c r="H122" s="70"/>
    </row>
    <row r="123">
      <c r="G123" s="70"/>
      <c r="H123" s="70"/>
    </row>
    <row r="124">
      <c r="G124" s="70"/>
      <c r="H124" s="70"/>
    </row>
    <row r="125">
      <c r="G125" s="70"/>
      <c r="H125" s="70"/>
    </row>
    <row r="126">
      <c r="G126" s="70"/>
      <c r="H126" s="70"/>
    </row>
    <row r="127">
      <c r="G127" s="70"/>
      <c r="H127" s="70"/>
    </row>
    <row r="128">
      <c r="G128" s="70"/>
      <c r="H128" s="70"/>
    </row>
    <row r="129">
      <c r="G129" s="70"/>
      <c r="H129" s="70"/>
    </row>
    <row r="130">
      <c r="G130" s="70"/>
      <c r="H130" s="70"/>
    </row>
    <row r="131">
      <c r="G131" s="70"/>
      <c r="H131" s="70"/>
    </row>
    <row r="132">
      <c r="G132" s="70"/>
      <c r="H132" s="70"/>
    </row>
    <row r="133">
      <c r="G133" s="70"/>
      <c r="H133" s="70"/>
    </row>
    <row r="134">
      <c r="G134" s="70"/>
      <c r="H134" s="70"/>
    </row>
    <row r="135">
      <c r="G135" s="70"/>
      <c r="H135" s="70"/>
    </row>
    <row r="136">
      <c r="G136" s="70"/>
      <c r="H136" s="70"/>
    </row>
    <row r="137">
      <c r="G137" s="70"/>
      <c r="H137" s="70"/>
    </row>
    <row r="138">
      <c r="G138" s="70"/>
      <c r="H138" s="70"/>
    </row>
    <row r="139">
      <c r="G139" s="70"/>
      <c r="H139" s="70"/>
    </row>
    <row r="140">
      <c r="G140" s="70"/>
      <c r="H140" s="70"/>
    </row>
    <row r="141">
      <c r="G141" s="70"/>
      <c r="H141" s="70"/>
    </row>
    <row r="142">
      <c r="G142" s="70"/>
      <c r="H142" s="70"/>
    </row>
    <row r="143">
      <c r="G143" s="70"/>
      <c r="H143" s="70"/>
    </row>
    <row r="144">
      <c r="G144" s="70"/>
      <c r="H144" s="70"/>
    </row>
    <row r="145">
      <c r="G145" s="70"/>
      <c r="H145" s="70"/>
    </row>
    <row r="146">
      <c r="G146" s="70"/>
      <c r="H146" s="70"/>
    </row>
    <row r="147">
      <c r="G147" s="70"/>
      <c r="H147" s="70"/>
    </row>
    <row r="148">
      <c r="G148" s="70"/>
      <c r="H148" s="70"/>
    </row>
    <row r="149">
      <c r="G149" s="70"/>
      <c r="H149" s="70"/>
    </row>
    <row r="150">
      <c r="G150" s="70"/>
      <c r="H150" s="70"/>
    </row>
    <row r="151">
      <c r="G151" s="70"/>
      <c r="H151" s="70"/>
    </row>
    <row r="152">
      <c r="G152" s="70"/>
      <c r="H152" s="70"/>
    </row>
    <row r="153">
      <c r="G153" s="70"/>
      <c r="H153" s="70"/>
    </row>
    <row r="154">
      <c r="G154" s="70"/>
      <c r="H154" s="70"/>
    </row>
    <row r="155">
      <c r="G155" s="70"/>
      <c r="H155" s="70"/>
    </row>
    <row r="156">
      <c r="G156" s="70"/>
      <c r="H156" s="70"/>
    </row>
    <row r="157">
      <c r="G157" s="70"/>
      <c r="H157" s="70"/>
    </row>
    <row r="158">
      <c r="G158" s="70"/>
      <c r="H158" s="70"/>
    </row>
    <row r="159">
      <c r="G159" s="70"/>
      <c r="H159" s="70"/>
    </row>
    <row r="160">
      <c r="G160" s="70"/>
      <c r="H160" s="70"/>
    </row>
    <row r="161">
      <c r="G161" s="70"/>
      <c r="H161" s="70"/>
    </row>
    <row r="162">
      <c r="G162" s="70"/>
      <c r="H162" s="70"/>
    </row>
    <row r="163">
      <c r="G163" s="70"/>
      <c r="H163" s="70"/>
    </row>
    <row r="164">
      <c r="G164" s="70"/>
      <c r="H164" s="70"/>
    </row>
    <row r="165">
      <c r="G165" s="70"/>
      <c r="H165" s="70"/>
    </row>
    <row r="166">
      <c r="G166" s="70"/>
      <c r="H166" s="70"/>
    </row>
    <row r="167">
      <c r="G167" s="70"/>
      <c r="H167" s="70"/>
    </row>
    <row r="168">
      <c r="G168" s="70"/>
      <c r="H168" s="70"/>
    </row>
    <row r="169">
      <c r="G169" s="70"/>
      <c r="H169" s="70"/>
    </row>
    <row r="170">
      <c r="G170" s="70"/>
      <c r="H170" s="70"/>
    </row>
    <row r="171">
      <c r="G171" s="70"/>
      <c r="H171" s="70"/>
    </row>
    <row r="172">
      <c r="G172" s="70"/>
      <c r="H172" s="70"/>
    </row>
    <row r="173">
      <c r="G173" s="70"/>
      <c r="H173" s="70"/>
    </row>
    <row r="174">
      <c r="G174" s="70"/>
      <c r="H174" s="70"/>
    </row>
    <row r="175">
      <c r="G175" s="70"/>
      <c r="H175" s="70"/>
    </row>
    <row r="176">
      <c r="G176" s="70"/>
      <c r="H176" s="70"/>
    </row>
    <row r="177">
      <c r="G177" s="70"/>
      <c r="H177" s="70"/>
    </row>
    <row r="178">
      <c r="G178" s="70"/>
      <c r="H178" s="70"/>
    </row>
    <row r="179">
      <c r="G179" s="70"/>
      <c r="H179" s="70"/>
    </row>
    <row r="180">
      <c r="G180" s="70"/>
      <c r="H180" s="70"/>
    </row>
    <row r="181">
      <c r="G181" s="70"/>
      <c r="H181" s="70"/>
    </row>
    <row r="182">
      <c r="G182" s="70"/>
      <c r="H182" s="70"/>
    </row>
    <row r="183">
      <c r="G183" s="70"/>
      <c r="H183" s="70"/>
    </row>
    <row r="184">
      <c r="G184" s="70"/>
      <c r="H184" s="70"/>
    </row>
    <row r="185">
      <c r="G185" s="70"/>
      <c r="H185" s="70"/>
    </row>
    <row r="186">
      <c r="G186" s="70"/>
      <c r="H186" s="70"/>
    </row>
    <row r="187">
      <c r="G187" s="70"/>
      <c r="H187" s="70"/>
    </row>
    <row r="188">
      <c r="G188" s="70"/>
      <c r="H188" s="70"/>
    </row>
    <row r="189">
      <c r="G189" s="70"/>
      <c r="H189" s="70"/>
    </row>
    <row r="190">
      <c r="G190" s="70"/>
      <c r="H190" s="70"/>
    </row>
    <row r="191">
      <c r="G191" s="70"/>
      <c r="H191" s="70"/>
    </row>
    <row r="192">
      <c r="G192" s="70"/>
      <c r="H192" s="70"/>
    </row>
    <row r="193">
      <c r="G193" s="70"/>
      <c r="H193" s="70"/>
    </row>
    <row r="194">
      <c r="G194" s="70"/>
      <c r="H194" s="70"/>
    </row>
    <row r="195">
      <c r="G195" s="70"/>
      <c r="H195" s="70"/>
    </row>
    <row r="196">
      <c r="G196" s="70"/>
      <c r="H196" s="70"/>
    </row>
    <row r="197">
      <c r="G197" s="70"/>
      <c r="H197" s="70"/>
    </row>
    <row r="198">
      <c r="G198" s="70"/>
      <c r="H198" s="70"/>
    </row>
    <row r="199">
      <c r="G199" s="70"/>
      <c r="H199" s="70"/>
    </row>
    <row r="200">
      <c r="G200" s="70"/>
      <c r="H200" s="70"/>
    </row>
    <row r="201">
      <c r="G201" s="70"/>
      <c r="H201" s="70"/>
    </row>
    <row r="202">
      <c r="G202" s="70"/>
      <c r="H202" s="70"/>
    </row>
    <row r="203">
      <c r="G203" s="70"/>
      <c r="H203" s="70"/>
    </row>
    <row r="204">
      <c r="G204" s="70"/>
      <c r="H204" s="70"/>
    </row>
    <row r="205">
      <c r="G205" s="70"/>
      <c r="H205" s="70"/>
    </row>
    <row r="206">
      <c r="G206" s="70"/>
      <c r="H206" s="70"/>
    </row>
    <row r="207">
      <c r="G207" s="70"/>
      <c r="H207" s="70"/>
    </row>
    <row r="208">
      <c r="G208" s="70"/>
      <c r="H208" s="70"/>
    </row>
    <row r="209">
      <c r="G209" s="70"/>
      <c r="H209" s="70"/>
    </row>
    <row r="210">
      <c r="G210" s="70"/>
      <c r="H210" s="70"/>
    </row>
    <row r="211">
      <c r="G211" s="70"/>
      <c r="H211" s="70"/>
    </row>
    <row r="212">
      <c r="G212" s="70"/>
      <c r="H212" s="70"/>
    </row>
    <row r="213">
      <c r="G213" s="70"/>
      <c r="H213" s="70"/>
    </row>
    <row r="214">
      <c r="G214" s="70"/>
      <c r="H214" s="70"/>
    </row>
    <row r="215">
      <c r="G215" s="70"/>
      <c r="H215" s="70"/>
    </row>
    <row r="216">
      <c r="G216" s="70"/>
      <c r="H216" s="70"/>
    </row>
    <row r="217">
      <c r="G217" s="70"/>
      <c r="H217" s="70"/>
    </row>
    <row r="218">
      <c r="G218" s="70"/>
      <c r="H218" s="70"/>
    </row>
    <row r="219">
      <c r="G219" s="70"/>
      <c r="H219" s="70"/>
    </row>
    <row r="220">
      <c r="G220" s="70"/>
      <c r="H220" s="70"/>
    </row>
    <row r="221">
      <c r="G221" s="70"/>
      <c r="H221" s="70"/>
    </row>
    <row r="222">
      <c r="G222" s="70"/>
      <c r="H222" s="70"/>
    </row>
    <row r="223">
      <c r="G223" s="70"/>
      <c r="H223" s="70"/>
    </row>
    <row r="224">
      <c r="G224" s="70"/>
      <c r="H224" s="70"/>
    </row>
    <row r="225">
      <c r="G225" s="70"/>
      <c r="H225" s="70"/>
    </row>
    <row r="226">
      <c r="G226" s="70"/>
      <c r="H226" s="70"/>
    </row>
    <row r="227">
      <c r="G227" s="70"/>
      <c r="H227" s="70"/>
    </row>
    <row r="228">
      <c r="G228" s="70"/>
      <c r="H228" s="70"/>
    </row>
    <row r="229">
      <c r="G229" s="70"/>
      <c r="H229" s="70"/>
    </row>
    <row r="230">
      <c r="G230" s="70"/>
      <c r="H230" s="70"/>
    </row>
    <row r="231">
      <c r="G231" s="70"/>
      <c r="H231" s="70"/>
    </row>
    <row r="232">
      <c r="G232" s="70"/>
      <c r="H232" s="70"/>
    </row>
    <row r="233">
      <c r="G233" s="70"/>
      <c r="H233" s="70"/>
    </row>
    <row r="234">
      <c r="G234" s="70"/>
      <c r="H234" s="70"/>
    </row>
    <row r="235">
      <c r="G235" s="70"/>
      <c r="H235" s="70"/>
    </row>
    <row r="236">
      <c r="G236" s="70"/>
      <c r="H236" s="70"/>
    </row>
    <row r="237">
      <c r="G237" s="70"/>
      <c r="H237" s="70"/>
    </row>
    <row r="238">
      <c r="G238" s="70"/>
      <c r="H238" s="70"/>
    </row>
    <row r="239">
      <c r="G239" s="70"/>
      <c r="H239" s="70"/>
    </row>
    <row r="240">
      <c r="G240" s="70"/>
      <c r="H240" s="70"/>
    </row>
    <row r="241">
      <c r="G241" s="70"/>
      <c r="H241" s="70"/>
    </row>
    <row r="242">
      <c r="G242" s="70"/>
      <c r="H242" s="70"/>
    </row>
    <row r="243">
      <c r="G243" s="70"/>
      <c r="H243" s="70"/>
    </row>
    <row r="244">
      <c r="G244" s="70"/>
      <c r="H244" s="70"/>
    </row>
    <row r="245">
      <c r="G245" s="70"/>
      <c r="H245" s="70"/>
    </row>
    <row r="246">
      <c r="G246" s="70"/>
      <c r="H246" s="70"/>
    </row>
    <row r="247">
      <c r="G247" s="70"/>
      <c r="H247" s="70"/>
    </row>
    <row r="248">
      <c r="G248" s="70"/>
      <c r="H248" s="70"/>
    </row>
    <row r="249">
      <c r="G249" s="70"/>
      <c r="H249" s="70"/>
    </row>
    <row r="250">
      <c r="G250" s="70"/>
      <c r="H250" s="70"/>
    </row>
    <row r="251">
      <c r="G251" s="70"/>
      <c r="H251" s="70"/>
    </row>
    <row r="252">
      <c r="G252" s="70"/>
      <c r="H252" s="70"/>
    </row>
    <row r="253">
      <c r="G253" s="70"/>
      <c r="H253" s="70"/>
    </row>
    <row r="254">
      <c r="G254" s="70"/>
      <c r="H254" s="70"/>
    </row>
    <row r="255">
      <c r="G255" s="70"/>
      <c r="H255" s="70"/>
    </row>
    <row r="256">
      <c r="G256" s="70"/>
      <c r="H256" s="70"/>
    </row>
    <row r="257">
      <c r="G257" s="70"/>
      <c r="H257" s="70"/>
    </row>
    <row r="258">
      <c r="G258" s="70"/>
      <c r="H258" s="70"/>
    </row>
    <row r="259">
      <c r="G259" s="70"/>
      <c r="H259" s="70"/>
    </row>
    <row r="260">
      <c r="G260" s="70"/>
      <c r="H260" s="70"/>
    </row>
    <row r="261">
      <c r="G261" s="70"/>
      <c r="H261" s="70"/>
    </row>
    <row r="262">
      <c r="G262" s="70"/>
      <c r="H262" s="70"/>
    </row>
    <row r="263">
      <c r="G263" s="70"/>
      <c r="H263" s="70"/>
    </row>
    <row r="264">
      <c r="G264" s="70"/>
      <c r="H264" s="70"/>
    </row>
    <row r="265">
      <c r="G265" s="70"/>
      <c r="H265" s="70"/>
    </row>
    <row r="266">
      <c r="G266" s="70"/>
      <c r="H266" s="70"/>
    </row>
    <row r="267">
      <c r="G267" s="70"/>
      <c r="H267" s="70"/>
    </row>
    <row r="268">
      <c r="G268" s="70"/>
      <c r="H268" s="70"/>
    </row>
    <row r="269">
      <c r="G269" s="70"/>
      <c r="H269" s="70"/>
    </row>
    <row r="270">
      <c r="G270" s="70"/>
      <c r="H270" s="70"/>
    </row>
    <row r="271">
      <c r="G271" s="70"/>
      <c r="H271" s="70"/>
    </row>
    <row r="272">
      <c r="G272" s="70"/>
      <c r="H272" s="70"/>
    </row>
    <row r="273">
      <c r="G273" s="70"/>
      <c r="H273" s="70"/>
    </row>
    <row r="274">
      <c r="G274" s="70"/>
      <c r="H274" s="70"/>
    </row>
    <row r="275">
      <c r="G275" s="70"/>
      <c r="H275" s="70"/>
    </row>
    <row r="276">
      <c r="G276" s="70"/>
      <c r="H276" s="70"/>
    </row>
    <row r="277">
      <c r="G277" s="70"/>
      <c r="H277" s="70"/>
    </row>
    <row r="278">
      <c r="G278" s="70"/>
      <c r="H278" s="70"/>
    </row>
    <row r="279">
      <c r="G279" s="70"/>
      <c r="H279" s="70"/>
    </row>
    <row r="280">
      <c r="G280" s="70"/>
      <c r="H280" s="70"/>
    </row>
    <row r="281">
      <c r="G281" s="70"/>
      <c r="H281" s="70"/>
    </row>
    <row r="282">
      <c r="G282" s="70"/>
      <c r="H282" s="70"/>
    </row>
    <row r="283">
      <c r="G283" s="70"/>
      <c r="H283" s="70"/>
    </row>
    <row r="284">
      <c r="G284" s="70"/>
      <c r="H284" s="70"/>
    </row>
    <row r="285">
      <c r="G285" s="70"/>
      <c r="H285" s="70"/>
    </row>
    <row r="286">
      <c r="G286" s="70"/>
      <c r="H286" s="70"/>
    </row>
    <row r="287">
      <c r="G287" s="70"/>
      <c r="H287" s="70"/>
    </row>
    <row r="288">
      <c r="G288" s="70"/>
      <c r="H288" s="70"/>
    </row>
    <row r="289">
      <c r="G289" s="70"/>
      <c r="H289" s="70"/>
    </row>
    <row r="290">
      <c r="G290" s="70"/>
      <c r="H290" s="70"/>
    </row>
    <row r="291">
      <c r="G291" s="70"/>
      <c r="H291" s="70"/>
    </row>
    <row r="292">
      <c r="G292" s="70"/>
      <c r="H292" s="70"/>
    </row>
    <row r="293">
      <c r="G293" s="70"/>
      <c r="H293" s="70"/>
    </row>
    <row r="294">
      <c r="G294" s="70"/>
      <c r="H294" s="70"/>
    </row>
    <row r="295">
      <c r="G295" s="70"/>
      <c r="H295" s="70"/>
    </row>
    <row r="296">
      <c r="G296" s="70"/>
      <c r="H296" s="70"/>
    </row>
    <row r="297">
      <c r="G297" s="70"/>
      <c r="H297" s="70"/>
    </row>
    <row r="298">
      <c r="G298" s="70"/>
      <c r="H298" s="70"/>
    </row>
    <row r="299">
      <c r="G299" s="70"/>
      <c r="H299" s="70"/>
    </row>
    <row r="300">
      <c r="G300" s="70"/>
      <c r="H300" s="70"/>
    </row>
    <row r="301">
      <c r="G301" s="70"/>
      <c r="H301" s="70"/>
    </row>
    <row r="302">
      <c r="G302" s="70"/>
      <c r="H302" s="70"/>
    </row>
    <row r="303">
      <c r="G303" s="70"/>
      <c r="H303" s="70"/>
    </row>
    <row r="304">
      <c r="G304" s="70"/>
      <c r="H304" s="70"/>
    </row>
    <row r="305">
      <c r="G305" s="70"/>
      <c r="H305" s="70"/>
    </row>
    <row r="306">
      <c r="G306" s="70"/>
      <c r="H306" s="70"/>
    </row>
    <row r="307">
      <c r="G307" s="70"/>
      <c r="H307" s="70"/>
    </row>
    <row r="308">
      <c r="G308" s="70"/>
      <c r="H308" s="70"/>
    </row>
    <row r="309">
      <c r="G309" s="70"/>
      <c r="H309" s="70"/>
    </row>
    <row r="310">
      <c r="G310" s="70"/>
      <c r="H310" s="70"/>
    </row>
    <row r="311">
      <c r="G311" s="70"/>
      <c r="H311" s="70"/>
    </row>
    <row r="312">
      <c r="G312" s="70"/>
      <c r="H312" s="70"/>
    </row>
    <row r="313">
      <c r="G313" s="70"/>
      <c r="H313" s="70"/>
    </row>
    <row r="314">
      <c r="G314" s="70"/>
      <c r="H314" s="70"/>
    </row>
    <row r="315">
      <c r="G315" s="70"/>
      <c r="H315" s="70"/>
    </row>
    <row r="316">
      <c r="G316" s="70"/>
      <c r="H316" s="70"/>
    </row>
    <row r="317">
      <c r="G317" s="70"/>
      <c r="H317" s="70"/>
    </row>
    <row r="318">
      <c r="G318" s="70"/>
      <c r="H318" s="70"/>
    </row>
    <row r="319">
      <c r="G319" s="70"/>
      <c r="H319" s="70"/>
    </row>
    <row r="320">
      <c r="G320" s="70"/>
      <c r="H320" s="70"/>
    </row>
    <row r="321">
      <c r="G321" s="70"/>
      <c r="H321" s="70"/>
    </row>
    <row r="322">
      <c r="G322" s="70"/>
      <c r="H322" s="70"/>
    </row>
    <row r="323">
      <c r="G323" s="70"/>
      <c r="H323" s="70"/>
    </row>
    <row r="324">
      <c r="G324" s="70"/>
      <c r="H324" s="70"/>
    </row>
    <row r="325">
      <c r="G325" s="70"/>
      <c r="H325" s="70"/>
    </row>
    <row r="326">
      <c r="G326" s="70"/>
      <c r="H326" s="70"/>
    </row>
    <row r="327">
      <c r="G327" s="70"/>
      <c r="H327" s="70"/>
    </row>
    <row r="328">
      <c r="G328" s="70"/>
      <c r="H328" s="70"/>
    </row>
    <row r="329">
      <c r="G329" s="70"/>
      <c r="H329" s="70"/>
    </row>
    <row r="330">
      <c r="G330" s="70"/>
      <c r="H330" s="70"/>
    </row>
    <row r="331">
      <c r="G331" s="70"/>
      <c r="H331" s="70"/>
    </row>
    <row r="332">
      <c r="G332" s="70"/>
      <c r="H332" s="70"/>
    </row>
    <row r="333">
      <c r="G333" s="70"/>
      <c r="H333" s="70"/>
    </row>
    <row r="334">
      <c r="G334" s="70"/>
      <c r="H334" s="70"/>
    </row>
    <row r="335">
      <c r="G335" s="70"/>
      <c r="H335" s="70"/>
    </row>
    <row r="336">
      <c r="G336" s="70"/>
      <c r="H336" s="70"/>
    </row>
    <row r="337">
      <c r="G337" s="70"/>
      <c r="H337" s="70"/>
    </row>
    <row r="338">
      <c r="G338" s="70"/>
      <c r="H338" s="70"/>
    </row>
    <row r="339">
      <c r="G339" s="70"/>
      <c r="H339" s="70"/>
    </row>
    <row r="340">
      <c r="G340" s="70"/>
      <c r="H340" s="70"/>
    </row>
    <row r="341">
      <c r="G341" s="70"/>
      <c r="H341" s="70"/>
    </row>
    <row r="342">
      <c r="G342" s="70"/>
      <c r="H342" s="70"/>
    </row>
    <row r="343">
      <c r="G343" s="70"/>
      <c r="H343" s="70"/>
    </row>
    <row r="344">
      <c r="G344" s="70"/>
      <c r="H344" s="70"/>
    </row>
    <row r="345">
      <c r="G345" s="70"/>
      <c r="H345" s="70"/>
    </row>
    <row r="346">
      <c r="G346" s="70"/>
      <c r="H346" s="70"/>
    </row>
    <row r="347">
      <c r="G347" s="70"/>
      <c r="H347" s="70"/>
    </row>
    <row r="348">
      <c r="G348" s="70"/>
      <c r="H348" s="70"/>
    </row>
    <row r="349">
      <c r="G349" s="70"/>
      <c r="H349" s="70"/>
    </row>
    <row r="350">
      <c r="G350" s="70"/>
      <c r="H350" s="70"/>
    </row>
    <row r="351">
      <c r="G351" s="70"/>
      <c r="H351" s="70"/>
    </row>
    <row r="352">
      <c r="G352" s="70"/>
      <c r="H352" s="70"/>
    </row>
    <row r="353">
      <c r="G353" s="70"/>
      <c r="H353" s="70"/>
    </row>
    <row r="354">
      <c r="G354" s="70"/>
      <c r="H354" s="70"/>
    </row>
    <row r="355">
      <c r="G355" s="70"/>
      <c r="H355" s="70"/>
    </row>
    <row r="356">
      <c r="G356" s="70"/>
      <c r="H356" s="70"/>
    </row>
    <row r="357">
      <c r="G357" s="70"/>
      <c r="H357" s="70"/>
    </row>
    <row r="358">
      <c r="G358" s="70"/>
      <c r="H358" s="70"/>
    </row>
    <row r="359">
      <c r="G359" s="70"/>
      <c r="H359" s="70"/>
    </row>
    <row r="360">
      <c r="G360" s="70"/>
      <c r="H360" s="70"/>
    </row>
    <row r="361">
      <c r="G361" s="70"/>
      <c r="H361" s="70"/>
    </row>
    <row r="362">
      <c r="G362" s="70"/>
      <c r="H362" s="70"/>
    </row>
    <row r="363">
      <c r="G363" s="70"/>
      <c r="H363" s="70"/>
    </row>
    <row r="364">
      <c r="G364" s="70"/>
      <c r="H364" s="70"/>
    </row>
    <row r="365">
      <c r="G365" s="70"/>
      <c r="H365" s="70"/>
    </row>
    <row r="366">
      <c r="G366" s="70"/>
      <c r="H366" s="70"/>
    </row>
    <row r="367">
      <c r="G367" s="70"/>
      <c r="H367" s="70"/>
    </row>
    <row r="368">
      <c r="G368" s="70"/>
      <c r="H368" s="70"/>
    </row>
    <row r="369">
      <c r="G369" s="70"/>
      <c r="H369" s="70"/>
    </row>
    <row r="370">
      <c r="G370" s="70"/>
      <c r="H370" s="70"/>
    </row>
    <row r="371">
      <c r="G371" s="70"/>
      <c r="H371" s="70"/>
    </row>
    <row r="372">
      <c r="G372" s="70"/>
      <c r="H372" s="70"/>
    </row>
    <row r="373">
      <c r="G373" s="70"/>
      <c r="H373" s="70"/>
    </row>
    <row r="374">
      <c r="G374" s="70"/>
      <c r="H374" s="70"/>
    </row>
    <row r="375">
      <c r="G375" s="70"/>
      <c r="H375" s="70"/>
    </row>
    <row r="376">
      <c r="G376" s="70"/>
      <c r="H376" s="70"/>
    </row>
    <row r="377">
      <c r="G377" s="70"/>
      <c r="H377" s="70"/>
    </row>
    <row r="378">
      <c r="G378" s="70"/>
      <c r="H378" s="70"/>
    </row>
    <row r="379">
      <c r="G379" s="70"/>
      <c r="H379" s="70"/>
    </row>
    <row r="380">
      <c r="G380" s="70"/>
      <c r="H380" s="70"/>
    </row>
    <row r="381">
      <c r="G381" s="70"/>
      <c r="H381" s="70"/>
    </row>
    <row r="382">
      <c r="G382" s="70"/>
      <c r="H382" s="70"/>
    </row>
    <row r="383">
      <c r="G383" s="70"/>
      <c r="H383" s="70"/>
    </row>
    <row r="384">
      <c r="G384" s="70"/>
      <c r="H384" s="70"/>
    </row>
    <row r="385">
      <c r="G385" s="70"/>
      <c r="H385" s="70"/>
    </row>
    <row r="386">
      <c r="G386" s="70"/>
      <c r="H386" s="70"/>
    </row>
    <row r="387">
      <c r="G387" s="70"/>
      <c r="H387" s="70"/>
    </row>
    <row r="388">
      <c r="G388" s="70"/>
      <c r="H388" s="70"/>
    </row>
    <row r="389">
      <c r="G389" s="70"/>
      <c r="H389" s="70"/>
    </row>
    <row r="390">
      <c r="G390" s="70"/>
      <c r="H390" s="70"/>
    </row>
    <row r="391">
      <c r="G391" s="70"/>
      <c r="H391" s="70"/>
    </row>
    <row r="392">
      <c r="G392" s="70"/>
      <c r="H392" s="70"/>
    </row>
    <row r="393">
      <c r="G393" s="70"/>
      <c r="H393" s="70"/>
    </row>
    <row r="394">
      <c r="G394" s="70"/>
      <c r="H394" s="70"/>
    </row>
    <row r="395">
      <c r="G395" s="70"/>
      <c r="H395" s="70"/>
    </row>
    <row r="396">
      <c r="G396" s="70"/>
      <c r="H396" s="70"/>
    </row>
    <row r="397">
      <c r="G397" s="70"/>
      <c r="H397" s="70"/>
    </row>
    <row r="398">
      <c r="G398" s="70"/>
      <c r="H398" s="70"/>
    </row>
    <row r="399">
      <c r="G399" s="70"/>
      <c r="H399" s="70"/>
    </row>
    <row r="400">
      <c r="G400" s="70"/>
      <c r="H400" s="70"/>
    </row>
    <row r="401">
      <c r="G401" s="70"/>
      <c r="H401" s="70"/>
    </row>
    <row r="402">
      <c r="G402" s="70"/>
      <c r="H402" s="70"/>
    </row>
    <row r="403">
      <c r="G403" s="70"/>
      <c r="H403" s="70"/>
    </row>
    <row r="404">
      <c r="G404" s="70"/>
      <c r="H404" s="70"/>
    </row>
    <row r="405">
      <c r="G405" s="70"/>
      <c r="H405" s="70"/>
    </row>
    <row r="406">
      <c r="G406" s="70"/>
      <c r="H406" s="70"/>
    </row>
    <row r="407">
      <c r="G407" s="70"/>
      <c r="H407" s="70"/>
    </row>
    <row r="408">
      <c r="G408" s="70"/>
      <c r="H408" s="70"/>
    </row>
    <row r="409">
      <c r="G409" s="70"/>
      <c r="H409" s="70"/>
    </row>
    <row r="410">
      <c r="G410" s="70"/>
      <c r="H410" s="70"/>
    </row>
    <row r="411">
      <c r="G411" s="70"/>
      <c r="H411" s="70"/>
    </row>
    <row r="412">
      <c r="G412" s="70"/>
      <c r="H412" s="70"/>
    </row>
    <row r="413">
      <c r="G413" s="70"/>
      <c r="H413" s="70"/>
    </row>
    <row r="414">
      <c r="G414" s="70"/>
      <c r="H414" s="70"/>
    </row>
    <row r="415">
      <c r="G415" s="70"/>
      <c r="H415" s="70"/>
    </row>
    <row r="416">
      <c r="G416" s="70"/>
      <c r="H416" s="70"/>
    </row>
    <row r="417">
      <c r="G417" s="70"/>
      <c r="H417" s="70"/>
    </row>
    <row r="418">
      <c r="G418" s="70"/>
      <c r="H418" s="70"/>
    </row>
    <row r="419">
      <c r="G419" s="70"/>
      <c r="H419" s="70"/>
    </row>
    <row r="420">
      <c r="G420" s="70"/>
      <c r="H420" s="70"/>
    </row>
    <row r="421">
      <c r="G421" s="70"/>
      <c r="H421" s="70"/>
    </row>
    <row r="422">
      <c r="G422" s="70"/>
      <c r="H422" s="70"/>
    </row>
    <row r="423">
      <c r="G423" s="70"/>
      <c r="H423" s="70"/>
    </row>
    <row r="424">
      <c r="G424" s="70"/>
      <c r="H424" s="70"/>
    </row>
    <row r="425">
      <c r="G425" s="70"/>
      <c r="H425" s="70"/>
    </row>
    <row r="426">
      <c r="G426" s="70"/>
      <c r="H426" s="70"/>
    </row>
    <row r="427">
      <c r="G427" s="70"/>
      <c r="H427" s="70"/>
    </row>
    <row r="428">
      <c r="G428" s="70"/>
      <c r="H428" s="70"/>
    </row>
    <row r="429">
      <c r="G429" s="70"/>
      <c r="H429" s="70"/>
    </row>
    <row r="430">
      <c r="G430" s="70"/>
      <c r="H430" s="70"/>
    </row>
    <row r="431">
      <c r="G431" s="70"/>
      <c r="H431" s="70"/>
    </row>
    <row r="432">
      <c r="G432" s="70"/>
      <c r="H432" s="70"/>
    </row>
    <row r="433">
      <c r="G433" s="70"/>
      <c r="H433" s="70"/>
    </row>
    <row r="434">
      <c r="G434" s="70"/>
      <c r="H434" s="70"/>
    </row>
    <row r="435">
      <c r="G435" s="70"/>
      <c r="H435" s="70"/>
    </row>
    <row r="436">
      <c r="G436" s="70"/>
      <c r="H436" s="70"/>
    </row>
    <row r="437">
      <c r="G437" s="70"/>
      <c r="H437" s="70"/>
    </row>
    <row r="438">
      <c r="G438" s="70"/>
      <c r="H438" s="70"/>
    </row>
    <row r="439">
      <c r="G439" s="70"/>
      <c r="H439" s="70"/>
    </row>
    <row r="440">
      <c r="G440" s="70"/>
      <c r="H440" s="70"/>
    </row>
    <row r="441">
      <c r="G441" s="70"/>
      <c r="H441" s="70"/>
    </row>
    <row r="442">
      <c r="G442" s="70"/>
      <c r="H442" s="70"/>
    </row>
    <row r="443">
      <c r="G443" s="70"/>
      <c r="H443" s="70"/>
    </row>
    <row r="444">
      <c r="G444" s="70"/>
      <c r="H444" s="70"/>
    </row>
    <row r="445">
      <c r="G445" s="70"/>
      <c r="H445" s="70"/>
    </row>
    <row r="446">
      <c r="G446" s="70"/>
      <c r="H446" s="70"/>
    </row>
    <row r="447">
      <c r="G447" s="70"/>
      <c r="H447" s="70"/>
    </row>
    <row r="448">
      <c r="G448" s="70"/>
      <c r="H448" s="70"/>
    </row>
    <row r="449">
      <c r="G449" s="70"/>
      <c r="H449" s="70"/>
    </row>
    <row r="450">
      <c r="G450" s="70"/>
      <c r="H450" s="70"/>
    </row>
    <row r="451">
      <c r="G451" s="70"/>
      <c r="H451" s="70"/>
    </row>
    <row r="452">
      <c r="G452" s="70"/>
      <c r="H452" s="70"/>
    </row>
    <row r="453">
      <c r="G453" s="70"/>
      <c r="H453" s="70"/>
    </row>
    <row r="454">
      <c r="G454" s="70"/>
      <c r="H454" s="70"/>
    </row>
    <row r="455">
      <c r="G455" s="70"/>
      <c r="H455" s="70"/>
    </row>
    <row r="456">
      <c r="G456" s="70"/>
      <c r="H456" s="70"/>
    </row>
    <row r="457">
      <c r="G457" s="70"/>
      <c r="H457" s="70"/>
    </row>
    <row r="458">
      <c r="G458" s="70"/>
      <c r="H458" s="70"/>
    </row>
    <row r="459">
      <c r="G459" s="70"/>
      <c r="H459" s="70"/>
    </row>
    <row r="460">
      <c r="G460" s="70"/>
      <c r="H460" s="70"/>
    </row>
    <row r="461">
      <c r="G461" s="70"/>
      <c r="H461" s="70"/>
    </row>
    <row r="462">
      <c r="G462" s="70"/>
      <c r="H462" s="70"/>
    </row>
    <row r="463">
      <c r="G463" s="70"/>
      <c r="H463" s="70"/>
    </row>
    <row r="464">
      <c r="G464" s="70"/>
      <c r="H464" s="70"/>
    </row>
    <row r="465">
      <c r="G465" s="70"/>
      <c r="H465" s="70"/>
    </row>
    <row r="466">
      <c r="G466" s="70"/>
      <c r="H466" s="70"/>
    </row>
    <row r="467">
      <c r="G467" s="70"/>
      <c r="H467" s="70"/>
    </row>
    <row r="468">
      <c r="G468" s="70"/>
      <c r="H468" s="70"/>
    </row>
    <row r="469">
      <c r="G469" s="70"/>
      <c r="H469" s="70"/>
    </row>
    <row r="470">
      <c r="G470" s="70"/>
      <c r="H470" s="70"/>
    </row>
    <row r="471">
      <c r="G471" s="70"/>
      <c r="H471" s="70"/>
    </row>
    <row r="472">
      <c r="G472" s="70"/>
      <c r="H472" s="70"/>
    </row>
    <row r="473">
      <c r="G473" s="70"/>
      <c r="H473" s="70"/>
    </row>
    <row r="474">
      <c r="G474" s="70"/>
      <c r="H474" s="70"/>
    </row>
    <row r="475">
      <c r="G475" s="70"/>
      <c r="H475" s="70"/>
    </row>
    <row r="476">
      <c r="G476" s="70"/>
      <c r="H476" s="70"/>
    </row>
    <row r="477">
      <c r="G477" s="70"/>
      <c r="H477" s="70"/>
    </row>
    <row r="478">
      <c r="G478" s="70"/>
      <c r="H478" s="70"/>
    </row>
    <row r="479">
      <c r="G479" s="70"/>
      <c r="H479" s="70"/>
    </row>
    <row r="480">
      <c r="G480" s="70"/>
      <c r="H480" s="70"/>
    </row>
    <row r="481">
      <c r="G481" s="70"/>
      <c r="H481" s="70"/>
    </row>
    <row r="482">
      <c r="G482" s="70"/>
      <c r="H482" s="70"/>
    </row>
    <row r="483">
      <c r="G483" s="70"/>
      <c r="H483" s="70"/>
    </row>
    <row r="484">
      <c r="G484" s="70"/>
      <c r="H484" s="70"/>
    </row>
    <row r="485">
      <c r="G485" s="70"/>
      <c r="H485" s="70"/>
    </row>
    <row r="486">
      <c r="G486" s="70"/>
      <c r="H486" s="70"/>
    </row>
    <row r="487">
      <c r="G487" s="70"/>
      <c r="H487" s="70"/>
    </row>
    <row r="488">
      <c r="G488" s="70"/>
      <c r="H488" s="70"/>
    </row>
    <row r="489">
      <c r="G489" s="70"/>
      <c r="H489" s="70"/>
    </row>
    <row r="490">
      <c r="G490" s="70"/>
      <c r="H490" s="70"/>
    </row>
    <row r="491">
      <c r="G491" s="70"/>
      <c r="H491" s="70"/>
    </row>
    <row r="492">
      <c r="G492" s="70"/>
      <c r="H492" s="70"/>
    </row>
    <row r="493">
      <c r="G493" s="70"/>
      <c r="H493" s="70"/>
    </row>
    <row r="494">
      <c r="G494" s="70"/>
      <c r="H494" s="70"/>
    </row>
    <row r="495">
      <c r="G495" s="70"/>
      <c r="H495" s="70"/>
    </row>
    <row r="496">
      <c r="G496" s="70"/>
      <c r="H496" s="70"/>
    </row>
    <row r="497">
      <c r="G497" s="70"/>
      <c r="H497" s="70"/>
    </row>
    <row r="498">
      <c r="G498" s="70"/>
      <c r="H498" s="70"/>
    </row>
    <row r="499">
      <c r="G499" s="70"/>
      <c r="H499" s="70"/>
    </row>
    <row r="500">
      <c r="G500" s="70"/>
      <c r="H500" s="70"/>
    </row>
    <row r="501">
      <c r="G501" s="70"/>
      <c r="H501" s="70"/>
    </row>
    <row r="502">
      <c r="G502" s="70"/>
      <c r="H502" s="70"/>
    </row>
    <row r="503">
      <c r="G503" s="70"/>
      <c r="H503" s="70"/>
    </row>
    <row r="504">
      <c r="G504" s="70"/>
      <c r="H504" s="70"/>
    </row>
    <row r="505">
      <c r="G505" s="70"/>
      <c r="H505" s="70"/>
    </row>
    <row r="506">
      <c r="G506" s="70"/>
      <c r="H506" s="70"/>
    </row>
    <row r="507">
      <c r="G507" s="70"/>
      <c r="H507" s="70"/>
    </row>
    <row r="508">
      <c r="G508" s="70"/>
      <c r="H508" s="70"/>
    </row>
    <row r="509">
      <c r="G509" s="70"/>
      <c r="H509" s="70"/>
    </row>
    <row r="510">
      <c r="G510" s="70"/>
      <c r="H510" s="70"/>
    </row>
    <row r="511">
      <c r="G511" s="70"/>
      <c r="H511" s="70"/>
    </row>
    <row r="512">
      <c r="G512" s="70"/>
      <c r="H512" s="70"/>
    </row>
    <row r="513">
      <c r="G513" s="70"/>
      <c r="H513" s="70"/>
    </row>
    <row r="514">
      <c r="G514" s="70"/>
      <c r="H514" s="70"/>
    </row>
    <row r="515">
      <c r="G515" s="70"/>
      <c r="H515" s="70"/>
    </row>
    <row r="516">
      <c r="G516" s="70"/>
      <c r="H516" s="70"/>
    </row>
    <row r="517">
      <c r="G517" s="70"/>
      <c r="H517" s="70"/>
    </row>
    <row r="518">
      <c r="G518" s="70"/>
      <c r="H518" s="70"/>
    </row>
    <row r="519">
      <c r="G519" s="70"/>
      <c r="H519" s="70"/>
    </row>
    <row r="520">
      <c r="G520" s="70"/>
      <c r="H520" s="70"/>
    </row>
    <row r="521">
      <c r="G521" s="70"/>
      <c r="H521" s="70"/>
    </row>
    <row r="522">
      <c r="G522" s="70"/>
      <c r="H522" s="70"/>
    </row>
    <row r="523">
      <c r="G523" s="70"/>
      <c r="H523" s="70"/>
    </row>
    <row r="524">
      <c r="G524" s="70"/>
      <c r="H524" s="70"/>
    </row>
    <row r="525">
      <c r="G525" s="70"/>
      <c r="H525" s="70"/>
    </row>
    <row r="526">
      <c r="G526" s="70"/>
      <c r="H526" s="70"/>
    </row>
    <row r="527">
      <c r="G527" s="70"/>
      <c r="H527" s="70"/>
    </row>
    <row r="528">
      <c r="G528" s="70"/>
      <c r="H528" s="70"/>
    </row>
    <row r="529">
      <c r="G529" s="70"/>
      <c r="H529" s="70"/>
    </row>
    <row r="530">
      <c r="G530" s="70"/>
      <c r="H530" s="70"/>
    </row>
    <row r="531">
      <c r="G531" s="70"/>
      <c r="H531" s="70"/>
    </row>
    <row r="532">
      <c r="G532" s="70"/>
      <c r="H532" s="70"/>
    </row>
    <row r="533">
      <c r="G533" s="70"/>
      <c r="H533" s="70"/>
    </row>
    <row r="534">
      <c r="G534" s="70"/>
      <c r="H534" s="70"/>
    </row>
    <row r="535">
      <c r="G535" s="70"/>
      <c r="H535" s="70"/>
    </row>
    <row r="536">
      <c r="G536" s="70"/>
      <c r="H536" s="70"/>
    </row>
    <row r="537">
      <c r="G537" s="70"/>
      <c r="H537" s="70"/>
    </row>
    <row r="538">
      <c r="G538" s="70"/>
      <c r="H538" s="70"/>
    </row>
    <row r="539">
      <c r="G539" s="70"/>
      <c r="H539" s="70"/>
    </row>
    <row r="540">
      <c r="G540" s="70"/>
      <c r="H540" s="70"/>
    </row>
    <row r="541">
      <c r="G541" s="70"/>
      <c r="H541" s="70"/>
    </row>
    <row r="542">
      <c r="G542" s="70"/>
      <c r="H542" s="70"/>
    </row>
    <row r="543">
      <c r="G543" s="70"/>
      <c r="H543" s="70"/>
    </row>
    <row r="544">
      <c r="G544" s="70"/>
      <c r="H544" s="70"/>
    </row>
    <row r="545">
      <c r="G545" s="70"/>
      <c r="H545" s="70"/>
    </row>
    <row r="546">
      <c r="G546" s="70"/>
      <c r="H546" s="70"/>
    </row>
    <row r="547">
      <c r="G547" s="70"/>
      <c r="H547" s="70"/>
    </row>
    <row r="548">
      <c r="G548" s="70"/>
      <c r="H548" s="70"/>
    </row>
    <row r="549">
      <c r="G549" s="70"/>
      <c r="H549" s="70"/>
    </row>
    <row r="550">
      <c r="G550" s="70"/>
      <c r="H550" s="70"/>
    </row>
    <row r="551">
      <c r="G551" s="70"/>
      <c r="H551" s="70"/>
    </row>
    <row r="552">
      <c r="G552" s="70"/>
      <c r="H552" s="70"/>
    </row>
    <row r="553">
      <c r="G553" s="70"/>
      <c r="H553" s="70"/>
    </row>
    <row r="554">
      <c r="G554" s="70"/>
      <c r="H554" s="70"/>
    </row>
    <row r="555">
      <c r="G555" s="70"/>
      <c r="H555" s="70"/>
    </row>
    <row r="556">
      <c r="G556" s="70"/>
      <c r="H556" s="70"/>
    </row>
    <row r="557">
      <c r="G557" s="70"/>
      <c r="H557" s="70"/>
    </row>
    <row r="558">
      <c r="G558" s="70"/>
      <c r="H558" s="70"/>
    </row>
    <row r="559">
      <c r="G559" s="70"/>
      <c r="H559" s="70"/>
    </row>
    <row r="560">
      <c r="G560" s="70"/>
      <c r="H560" s="70"/>
    </row>
    <row r="561">
      <c r="G561" s="70"/>
      <c r="H561" s="70"/>
    </row>
    <row r="562">
      <c r="G562" s="70"/>
      <c r="H562" s="70"/>
    </row>
    <row r="563">
      <c r="G563" s="70"/>
      <c r="H563" s="70"/>
    </row>
    <row r="564">
      <c r="G564" s="70"/>
      <c r="H564" s="70"/>
    </row>
    <row r="565">
      <c r="G565" s="70"/>
      <c r="H565" s="70"/>
    </row>
    <row r="566">
      <c r="G566" s="70"/>
      <c r="H566" s="70"/>
    </row>
    <row r="567">
      <c r="G567" s="70"/>
      <c r="H567" s="70"/>
    </row>
    <row r="568">
      <c r="G568" s="70"/>
      <c r="H568" s="70"/>
    </row>
    <row r="569">
      <c r="G569" s="70"/>
      <c r="H569" s="70"/>
    </row>
    <row r="570">
      <c r="G570" s="70"/>
      <c r="H570" s="70"/>
    </row>
    <row r="571">
      <c r="G571" s="70"/>
      <c r="H571" s="70"/>
    </row>
    <row r="572">
      <c r="G572" s="70"/>
      <c r="H572" s="70"/>
    </row>
    <row r="573">
      <c r="G573" s="70"/>
      <c r="H573" s="70"/>
    </row>
    <row r="574">
      <c r="G574" s="70"/>
      <c r="H574" s="70"/>
    </row>
    <row r="575">
      <c r="G575" s="70"/>
      <c r="H575" s="70"/>
    </row>
    <row r="576">
      <c r="G576" s="70"/>
      <c r="H576" s="70"/>
    </row>
    <row r="577">
      <c r="G577" s="70"/>
      <c r="H577" s="70"/>
    </row>
    <row r="578">
      <c r="G578" s="70"/>
      <c r="H578" s="70"/>
    </row>
    <row r="579">
      <c r="G579" s="70"/>
      <c r="H579" s="70"/>
    </row>
    <row r="580">
      <c r="G580" s="70"/>
      <c r="H580" s="70"/>
    </row>
    <row r="581">
      <c r="G581" s="70"/>
      <c r="H581" s="70"/>
    </row>
    <row r="582">
      <c r="G582" s="70"/>
      <c r="H582" s="70"/>
    </row>
    <row r="583">
      <c r="G583" s="70"/>
      <c r="H583" s="70"/>
    </row>
    <row r="584">
      <c r="G584" s="70"/>
      <c r="H584" s="70"/>
    </row>
    <row r="585">
      <c r="G585" s="70"/>
      <c r="H585" s="70"/>
    </row>
    <row r="586">
      <c r="G586" s="70"/>
      <c r="H586" s="70"/>
    </row>
    <row r="587">
      <c r="G587" s="70"/>
      <c r="H587" s="70"/>
    </row>
    <row r="588">
      <c r="G588" s="70"/>
      <c r="H588" s="70"/>
    </row>
    <row r="589">
      <c r="G589" s="70"/>
      <c r="H589" s="70"/>
    </row>
    <row r="590">
      <c r="G590" s="70"/>
      <c r="H590" s="70"/>
    </row>
    <row r="591">
      <c r="G591" s="70"/>
      <c r="H591" s="70"/>
    </row>
    <row r="592">
      <c r="G592" s="70"/>
      <c r="H592" s="70"/>
    </row>
    <row r="593">
      <c r="G593" s="70"/>
      <c r="H593" s="70"/>
    </row>
    <row r="594">
      <c r="G594" s="70"/>
      <c r="H594" s="70"/>
    </row>
    <row r="595">
      <c r="G595" s="70"/>
      <c r="H595" s="70"/>
    </row>
    <row r="596">
      <c r="G596" s="70"/>
      <c r="H596" s="70"/>
    </row>
    <row r="597">
      <c r="G597" s="70"/>
      <c r="H597" s="70"/>
    </row>
    <row r="598">
      <c r="G598" s="70"/>
      <c r="H598" s="70"/>
    </row>
    <row r="599">
      <c r="G599" s="70"/>
      <c r="H599" s="70"/>
    </row>
    <row r="600">
      <c r="G600" s="70"/>
      <c r="H600" s="70"/>
    </row>
    <row r="601">
      <c r="G601" s="70"/>
      <c r="H601" s="70"/>
    </row>
    <row r="602">
      <c r="G602" s="70"/>
      <c r="H602" s="70"/>
    </row>
    <row r="603">
      <c r="G603" s="70"/>
      <c r="H603" s="70"/>
    </row>
    <row r="604">
      <c r="G604" s="70"/>
      <c r="H604" s="70"/>
    </row>
    <row r="605">
      <c r="G605" s="70"/>
      <c r="H605" s="70"/>
    </row>
    <row r="606">
      <c r="G606" s="70"/>
      <c r="H606" s="70"/>
    </row>
    <row r="607">
      <c r="G607" s="70"/>
      <c r="H607" s="70"/>
    </row>
    <row r="608">
      <c r="G608" s="70"/>
      <c r="H608" s="70"/>
    </row>
    <row r="609">
      <c r="G609" s="70"/>
      <c r="H609" s="70"/>
    </row>
    <row r="610">
      <c r="G610" s="70"/>
      <c r="H610" s="70"/>
    </row>
    <row r="611">
      <c r="G611" s="70"/>
      <c r="H611" s="70"/>
    </row>
    <row r="612">
      <c r="G612" s="70"/>
      <c r="H612" s="70"/>
    </row>
    <row r="613">
      <c r="G613" s="70"/>
      <c r="H613" s="70"/>
    </row>
    <row r="614">
      <c r="G614" s="70"/>
      <c r="H614" s="70"/>
    </row>
    <row r="615">
      <c r="G615" s="70"/>
      <c r="H615" s="70"/>
    </row>
    <row r="616">
      <c r="G616" s="70"/>
      <c r="H616" s="70"/>
    </row>
    <row r="617">
      <c r="G617" s="70"/>
      <c r="H617" s="70"/>
    </row>
    <row r="618">
      <c r="G618" s="70"/>
      <c r="H618" s="70"/>
    </row>
    <row r="619">
      <c r="G619" s="70"/>
      <c r="H619" s="70"/>
    </row>
    <row r="620">
      <c r="G620" s="70"/>
      <c r="H620" s="70"/>
    </row>
    <row r="621">
      <c r="G621" s="70"/>
      <c r="H621" s="70"/>
    </row>
    <row r="622">
      <c r="G622" s="70"/>
      <c r="H622" s="70"/>
    </row>
    <row r="623">
      <c r="G623" s="70"/>
      <c r="H623" s="70"/>
    </row>
    <row r="624">
      <c r="G624" s="70"/>
      <c r="H624" s="70"/>
    </row>
    <row r="625">
      <c r="G625" s="70"/>
      <c r="H625" s="70"/>
    </row>
    <row r="626">
      <c r="G626" s="70"/>
      <c r="H626" s="70"/>
    </row>
    <row r="627">
      <c r="G627" s="70"/>
      <c r="H627" s="70"/>
    </row>
    <row r="628">
      <c r="G628" s="70"/>
      <c r="H628" s="70"/>
    </row>
    <row r="629">
      <c r="G629" s="70"/>
      <c r="H629" s="70"/>
    </row>
    <row r="630">
      <c r="G630" s="70"/>
      <c r="H630" s="70"/>
    </row>
    <row r="631">
      <c r="G631" s="70"/>
      <c r="H631" s="70"/>
    </row>
    <row r="632">
      <c r="G632" s="70"/>
      <c r="H632" s="70"/>
    </row>
    <row r="633">
      <c r="G633" s="70"/>
      <c r="H633" s="70"/>
    </row>
    <row r="634">
      <c r="G634" s="70"/>
      <c r="H634" s="70"/>
    </row>
    <row r="635">
      <c r="G635" s="70"/>
      <c r="H635" s="70"/>
    </row>
    <row r="636">
      <c r="G636" s="70"/>
      <c r="H636" s="70"/>
    </row>
    <row r="637">
      <c r="G637" s="70"/>
      <c r="H637" s="70"/>
    </row>
    <row r="638">
      <c r="G638" s="70"/>
      <c r="H638" s="70"/>
    </row>
    <row r="639">
      <c r="G639" s="70"/>
      <c r="H639" s="70"/>
    </row>
    <row r="640">
      <c r="G640" s="70"/>
      <c r="H640" s="70"/>
    </row>
    <row r="641">
      <c r="G641" s="70"/>
      <c r="H641" s="70"/>
    </row>
    <row r="642">
      <c r="G642" s="70"/>
      <c r="H642" s="70"/>
    </row>
    <row r="643">
      <c r="G643" s="70"/>
      <c r="H643" s="70"/>
    </row>
    <row r="644">
      <c r="G644" s="70"/>
      <c r="H644" s="70"/>
    </row>
    <row r="645">
      <c r="G645" s="70"/>
      <c r="H645" s="70"/>
    </row>
    <row r="646">
      <c r="G646" s="70"/>
      <c r="H646" s="70"/>
    </row>
    <row r="647">
      <c r="G647" s="70"/>
      <c r="H647" s="70"/>
    </row>
    <row r="648">
      <c r="G648" s="70"/>
      <c r="H648" s="70"/>
    </row>
    <row r="649">
      <c r="G649" s="70"/>
      <c r="H649" s="70"/>
    </row>
    <row r="650">
      <c r="G650" s="70"/>
      <c r="H650" s="70"/>
    </row>
    <row r="651">
      <c r="G651" s="70"/>
      <c r="H651" s="70"/>
    </row>
    <row r="652">
      <c r="G652" s="70"/>
      <c r="H652" s="70"/>
    </row>
    <row r="653">
      <c r="G653" s="70"/>
      <c r="H653" s="70"/>
    </row>
    <row r="654">
      <c r="G654" s="70"/>
      <c r="H654" s="70"/>
    </row>
    <row r="655">
      <c r="G655" s="70"/>
      <c r="H655" s="70"/>
    </row>
    <row r="656">
      <c r="G656" s="70"/>
      <c r="H656" s="70"/>
    </row>
    <row r="657">
      <c r="G657" s="70"/>
      <c r="H657" s="70"/>
    </row>
    <row r="658">
      <c r="G658" s="70"/>
      <c r="H658" s="70"/>
    </row>
    <row r="659">
      <c r="G659" s="70"/>
      <c r="H659" s="70"/>
    </row>
    <row r="660">
      <c r="G660" s="70"/>
      <c r="H660" s="70"/>
    </row>
    <row r="661">
      <c r="G661" s="70"/>
      <c r="H661" s="70"/>
    </row>
    <row r="662">
      <c r="G662" s="70"/>
      <c r="H662" s="70"/>
    </row>
    <row r="663">
      <c r="G663" s="70"/>
      <c r="H663" s="70"/>
    </row>
    <row r="664">
      <c r="G664" s="70"/>
      <c r="H664" s="70"/>
    </row>
    <row r="665">
      <c r="G665" s="70"/>
      <c r="H665" s="70"/>
    </row>
    <row r="666">
      <c r="G666" s="70"/>
      <c r="H666" s="70"/>
    </row>
    <row r="667">
      <c r="G667" s="70"/>
      <c r="H667" s="70"/>
    </row>
    <row r="668">
      <c r="G668" s="70"/>
      <c r="H668" s="70"/>
    </row>
    <row r="669">
      <c r="G669" s="70"/>
      <c r="H669" s="70"/>
    </row>
    <row r="670">
      <c r="G670" s="70"/>
      <c r="H670" s="70"/>
    </row>
    <row r="671">
      <c r="G671" s="70"/>
      <c r="H671" s="70"/>
    </row>
    <row r="672">
      <c r="G672" s="70"/>
      <c r="H672" s="70"/>
    </row>
    <row r="673">
      <c r="G673" s="70"/>
      <c r="H673" s="70"/>
    </row>
    <row r="674">
      <c r="G674" s="70"/>
      <c r="H674" s="70"/>
    </row>
    <row r="675">
      <c r="G675" s="70"/>
      <c r="H675" s="70"/>
    </row>
    <row r="676">
      <c r="G676" s="70"/>
      <c r="H676" s="70"/>
    </row>
    <row r="677">
      <c r="G677" s="70"/>
      <c r="H677" s="70"/>
    </row>
    <row r="678">
      <c r="G678" s="70"/>
      <c r="H678" s="70"/>
    </row>
    <row r="679">
      <c r="G679" s="70"/>
      <c r="H679" s="70"/>
    </row>
    <row r="680">
      <c r="G680" s="70"/>
      <c r="H680" s="70"/>
    </row>
    <row r="681">
      <c r="G681" s="70"/>
      <c r="H681" s="70"/>
    </row>
    <row r="682">
      <c r="G682" s="70"/>
      <c r="H682" s="70"/>
    </row>
    <row r="683">
      <c r="G683" s="70"/>
      <c r="H683" s="70"/>
    </row>
    <row r="684">
      <c r="G684" s="70"/>
      <c r="H684" s="70"/>
    </row>
    <row r="685">
      <c r="G685" s="70"/>
      <c r="H685" s="70"/>
    </row>
    <row r="686">
      <c r="G686" s="70"/>
      <c r="H686" s="70"/>
    </row>
    <row r="687">
      <c r="G687" s="70"/>
      <c r="H687" s="70"/>
    </row>
    <row r="688">
      <c r="G688" s="70"/>
      <c r="H688" s="70"/>
    </row>
    <row r="689">
      <c r="G689" s="70"/>
      <c r="H689" s="70"/>
    </row>
    <row r="690">
      <c r="G690" s="70"/>
      <c r="H690" s="70"/>
    </row>
    <row r="691">
      <c r="G691" s="70"/>
      <c r="H691" s="70"/>
    </row>
    <row r="692">
      <c r="G692" s="70"/>
      <c r="H692" s="70"/>
    </row>
    <row r="693">
      <c r="G693" s="70"/>
      <c r="H693" s="70"/>
    </row>
    <row r="694">
      <c r="G694" s="70"/>
      <c r="H694" s="70"/>
    </row>
    <row r="695">
      <c r="G695" s="70"/>
      <c r="H695" s="70"/>
    </row>
    <row r="696">
      <c r="G696" s="70"/>
      <c r="H696" s="70"/>
    </row>
    <row r="697">
      <c r="G697" s="70"/>
      <c r="H697" s="70"/>
    </row>
    <row r="698">
      <c r="G698" s="70"/>
      <c r="H698" s="70"/>
    </row>
    <row r="699">
      <c r="G699" s="70"/>
      <c r="H699" s="70"/>
    </row>
    <row r="700">
      <c r="G700" s="70"/>
      <c r="H700" s="70"/>
    </row>
    <row r="701">
      <c r="G701" s="70"/>
      <c r="H701" s="70"/>
    </row>
    <row r="702">
      <c r="G702" s="70"/>
      <c r="H702" s="70"/>
    </row>
    <row r="703">
      <c r="G703" s="70"/>
      <c r="H703" s="70"/>
    </row>
    <row r="704">
      <c r="G704" s="70"/>
      <c r="H704" s="70"/>
    </row>
    <row r="705">
      <c r="G705" s="70"/>
      <c r="H705" s="70"/>
    </row>
    <row r="706">
      <c r="G706" s="70"/>
      <c r="H706" s="70"/>
    </row>
    <row r="707">
      <c r="G707" s="70"/>
      <c r="H707" s="70"/>
    </row>
    <row r="708">
      <c r="G708" s="70"/>
      <c r="H708" s="70"/>
    </row>
    <row r="709">
      <c r="G709" s="70"/>
      <c r="H709" s="70"/>
    </row>
    <row r="710">
      <c r="G710" s="70"/>
      <c r="H710" s="70"/>
    </row>
    <row r="711">
      <c r="G711" s="70"/>
      <c r="H711" s="70"/>
    </row>
    <row r="712">
      <c r="G712" s="70"/>
      <c r="H712" s="70"/>
    </row>
    <row r="713">
      <c r="G713" s="70"/>
      <c r="H713" s="70"/>
    </row>
    <row r="714">
      <c r="G714" s="70"/>
      <c r="H714" s="70"/>
    </row>
    <row r="715">
      <c r="G715" s="70"/>
      <c r="H715" s="70"/>
    </row>
    <row r="716">
      <c r="G716" s="70"/>
      <c r="H716" s="70"/>
    </row>
    <row r="717">
      <c r="G717" s="70"/>
      <c r="H717" s="70"/>
    </row>
    <row r="718">
      <c r="G718" s="70"/>
      <c r="H718" s="70"/>
    </row>
    <row r="719">
      <c r="G719" s="70"/>
      <c r="H719" s="70"/>
    </row>
    <row r="720">
      <c r="G720" s="70"/>
      <c r="H720" s="70"/>
    </row>
    <row r="721">
      <c r="G721" s="70"/>
      <c r="H721" s="70"/>
    </row>
    <row r="722">
      <c r="G722" s="70"/>
      <c r="H722" s="70"/>
    </row>
    <row r="723">
      <c r="G723" s="70"/>
      <c r="H723" s="70"/>
    </row>
    <row r="724">
      <c r="G724" s="70"/>
      <c r="H724" s="70"/>
    </row>
    <row r="725">
      <c r="G725" s="70"/>
      <c r="H725" s="70"/>
    </row>
    <row r="726">
      <c r="G726" s="70"/>
      <c r="H726" s="70"/>
    </row>
    <row r="727">
      <c r="G727" s="70"/>
      <c r="H727" s="70"/>
    </row>
    <row r="728">
      <c r="G728" s="70"/>
      <c r="H728" s="70"/>
    </row>
    <row r="729">
      <c r="G729" s="70"/>
      <c r="H729" s="70"/>
    </row>
    <row r="730">
      <c r="G730" s="70"/>
      <c r="H730" s="70"/>
    </row>
    <row r="731">
      <c r="G731" s="70"/>
      <c r="H731" s="70"/>
    </row>
    <row r="732">
      <c r="G732" s="70"/>
      <c r="H732" s="70"/>
    </row>
    <row r="733">
      <c r="G733" s="70"/>
      <c r="H733" s="70"/>
    </row>
    <row r="734">
      <c r="G734" s="70"/>
      <c r="H734" s="70"/>
    </row>
    <row r="735">
      <c r="G735" s="70"/>
      <c r="H735" s="70"/>
    </row>
    <row r="736">
      <c r="G736" s="70"/>
      <c r="H736" s="70"/>
    </row>
    <row r="737">
      <c r="G737" s="70"/>
      <c r="H737" s="70"/>
    </row>
    <row r="738">
      <c r="G738" s="70"/>
      <c r="H738" s="70"/>
    </row>
    <row r="739">
      <c r="G739" s="70"/>
      <c r="H739" s="70"/>
    </row>
    <row r="740">
      <c r="G740" s="70"/>
      <c r="H740" s="70"/>
    </row>
    <row r="741">
      <c r="G741" s="70"/>
      <c r="H741" s="70"/>
    </row>
    <row r="742">
      <c r="G742" s="70"/>
      <c r="H742" s="70"/>
    </row>
    <row r="743">
      <c r="G743" s="70"/>
      <c r="H743" s="70"/>
    </row>
    <row r="744">
      <c r="G744" s="70"/>
      <c r="H744" s="70"/>
    </row>
    <row r="745">
      <c r="G745" s="70"/>
      <c r="H745" s="70"/>
    </row>
    <row r="746">
      <c r="G746" s="70"/>
      <c r="H746" s="70"/>
    </row>
    <row r="747">
      <c r="G747" s="70"/>
      <c r="H747" s="70"/>
    </row>
    <row r="748">
      <c r="G748" s="70"/>
      <c r="H748" s="70"/>
    </row>
    <row r="749">
      <c r="G749" s="70"/>
      <c r="H749" s="70"/>
    </row>
    <row r="750">
      <c r="G750" s="70"/>
      <c r="H750" s="70"/>
    </row>
    <row r="751">
      <c r="G751" s="70"/>
      <c r="H751" s="70"/>
    </row>
    <row r="752">
      <c r="G752" s="70"/>
      <c r="H752" s="70"/>
    </row>
    <row r="753">
      <c r="G753" s="70"/>
      <c r="H753" s="70"/>
    </row>
    <row r="754">
      <c r="G754" s="70"/>
      <c r="H754" s="70"/>
    </row>
    <row r="755">
      <c r="G755" s="70"/>
      <c r="H755" s="70"/>
    </row>
    <row r="756">
      <c r="G756" s="70"/>
      <c r="H756" s="70"/>
    </row>
    <row r="757">
      <c r="G757" s="70"/>
      <c r="H757" s="70"/>
    </row>
    <row r="758">
      <c r="G758" s="70"/>
      <c r="H758" s="70"/>
    </row>
    <row r="759">
      <c r="G759" s="70"/>
      <c r="H759" s="70"/>
    </row>
    <row r="760">
      <c r="G760" s="70"/>
      <c r="H760" s="70"/>
    </row>
    <row r="761">
      <c r="G761" s="70"/>
      <c r="H761" s="70"/>
    </row>
    <row r="762">
      <c r="G762" s="70"/>
      <c r="H762" s="70"/>
    </row>
    <row r="763">
      <c r="G763" s="70"/>
      <c r="H763" s="70"/>
    </row>
    <row r="764">
      <c r="G764" s="70"/>
      <c r="H764" s="70"/>
    </row>
    <row r="765">
      <c r="G765" s="70"/>
      <c r="H765" s="70"/>
    </row>
    <row r="766">
      <c r="G766" s="70"/>
      <c r="H766" s="70"/>
    </row>
    <row r="767">
      <c r="G767" s="70"/>
      <c r="H767" s="70"/>
    </row>
    <row r="768">
      <c r="G768" s="70"/>
      <c r="H768" s="70"/>
    </row>
    <row r="769">
      <c r="G769" s="70"/>
      <c r="H769" s="70"/>
    </row>
    <row r="770">
      <c r="G770" s="70"/>
      <c r="H770" s="70"/>
    </row>
    <row r="771">
      <c r="G771" s="70"/>
      <c r="H771" s="70"/>
    </row>
    <row r="772">
      <c r="G772" s="70"/>
      <c r="H772" s="70"/>
    </row>
    <row r="773">
      <c r="G773" s="70"/>
      <c r="H773" s="70"/>
    </row>
    <row r="774">
      <c r="G774" s="70"/>
      <c r="H774" s="70"/>
    </row>
    <row r="775">
      <c r="G775" s="70"/>
      <c r="H775" s="70"/>
    </row>
    <row r="776">
      <c r="G776" s="70"/>
      <c r="H776" s="70"/>
    </row>
    <row r="777">
      <c r="G777" s="70"/>
      <c r="H777" s="70"/>
    </row>
    <row r="778">
      <c r="G778" s="70"/>
      <c r="H778" s="70"/>
    </row>
    <row r="779">
      <c r="G779" s="70"/>
      <c r="H779" s="70"/>
    </row>
    <row r="780">
      <c r="G780" s="70"/>
      <c r="H780" s="70"/>
    </row>
    <row r="781">
      <c r="G781" s="70"/>
      <c r="H781" s="70"/>
    </row>
    <row r="782">
      <c r="G782" s="70"/>
      <c r="H782" s="70"/>
    </row>
    <row r="783">
      <c r="G783" s="70"/>
      <c r="H783" s="70"/>
    </row>
    <row r="784">
      <c r="G784" s="70"/>
      <c r="H784" s="70"/>
    </row>
    <row r="785">
      <c r="G785" s="70"/>
      <c r="H785" s="70"/>
    </row>
    <row r="786">
      <c r="G786" s="70"/>
      <c r="H786" s="70"/>
    </row>
    <row r="787">
      <c r="G787" s="70"/>
      <c r="H787" s="70"/>
    </row>
    <row r="788">
      <c r="G788" s="70"/>
      <c r="H788" s="70"/>
    </row>
    <row r="789">
      <c r="G789" s="70"/>
      <c r="H789" s="70"/>
    </row>
    <row r="790">
      <c r="G790" s="70"/>
      <c r="H790" s="70"/>
    </row>
    <row r="791">
      <c r="G791" s="70"/>
      <c r="H791" s="70"/>
    </row>
    <row r="792">
      <c r="G792" s="70"/>
      <c r="H792" s="70"/>
    </row>
    <row r="793">
      <c r="G793" s="70"/>
      <c r="H793" s="70"/>
    </row>
    <row r="794">
      <c r="G794" s="70"/>
      <c r="H794" s="70"/>
    </row>
    <row r="795">
      <c r="G795" s="70"/>
      <c r="H795" s="70"/>
    </row>
    <row r="796">
      <c r="G796" s="70"/>
      <c r="H796" s="70"/>
    </row>
    <row r="797">
      <c r="G797" s="70"/>
      <c r="H797" s="70"/>
    </row>
    <row r="798">
      <c r="G798" s="70"/>
      <c r="H798" s="70"/>
    </row>
    <row r="799">
      <c r="G799" s="70"/>
      <c r="H799" s="70"/>
    </row>
    <row r="800">
      <c r="G800" s="70"/>
      <c r="H800" s="70"/>
    </row>
    <row r="801">
      <c r="G801" s="70"/>
      <c r="H801" s="70"/>
    </row>
    <row r="802">
      <c r="G802" s="70"/>
      <c r="H802" s="70"/>
    </row>
    <row r="803">
      <c r="G803" s="70"/>
      <c r="H803" s="70"/>
    </row>
    <row r="804">
      <c r="G804" s="70"/>
      <c r="H804" s="70"/>
    </row>
    <row r="805">
      <c r="G805" s="70"/>
      <c r="H805" s="70"/>
    </row>
    <row r="806">
      <c r="G806" s="70"/>
      <c r="H806" s="70"/>
    </row>
    <row r="807">
      <c r="G807" s="70"/>
      <c r="H807" s="70"/>
    </row>
    <row r="808">
      <c r="G808" s="70"/>
      <c r="H808" s="70"/>
    </row>
    <row r="809">
      <c r="G809" s="70"/>
      <c r="H809" s="70"/>
    </row>
    <row r="810">
      <c r="G810" s="70"/>
      <c r="H810" s="70"/>
    </row>
    <row r="811">
      <c r="G811" s="70"/>
      <c r="H811" s="70"/>
    </row>
    <row r="812">
      <c r="G812" s="70"/>
      <c r="H812" s="70"/>
    </row>
    <row r="813">
      <c r="G813" s="70"/>
      <c r="H813" s="70"/>
    </row>
    <row r="814">
      <c r="G814" s="70"/>
      <c r="H814" s="70"/>
    </row>
    <row r="815">
      <c r="G815" s="70"/>
      <c r="H815" s="70"/>
    </row>
    <row r="816">
      <c r="G816" s="70"/>
      <c r="H816" s="70"/>
    </row>
    <row r="817">
      <c r="G817" s="70"/>
      <c r="H817" s="70"/>
    </row>
    <row r="818">
      <c r="G818" s="70"/>
      <c r="H818" s="70"/>
    </row>
    <row r="819">
      <c r="G819" s="70"/>
      <c r="H819" s="70"/>
    </row>
    <row r="820">
      <c r="G820" s="70"/>
      <c r="H820" s="70"/>
    </row>
    <row r="821">
      <c r="G821" s="70"/>
      <c r="H821" s="70"/>
    </row>
    <row r="822">
      <c r="G822" s="70"/>
      <c r="H822" s="70"/>
    </row>
    <row r="823">
      <c r="G823" s="70"/>
      <c r="H823" s="70"/>
    </row>
    <row r="824">
      <c r="G824" s="70"/>
      <c r="H824" s="70"/>
    </row>
    <row r="825">
      <c r="G825" s="70"/>
      <c r="H825" s="70"/>
    </row>
    <row r="826">
      <c r="G826" s="70"/>
      <c r="H826" s="70"/>
    </row>
    <row r="827">
      <c r="G827" s="70"/>
      <c r="H827" s="70"/>
    </row>
    <row r="828">
      <c r="G828" s="70"/>
      <c r="H828" s="70"/>
    </row>
    <row r="829">
      <c r="G829" s="70"/>
      <c r="H829" s="70"/>
    </row>
    <row r="830">
      <c r="G830" s="70"/>
      <c r="H830" s="70"/>
    </row>
    <row r="831">
      <c r="G831" s="70"/>
      <c r="H831" s="70"/>
    </row>
    <row r="832">
      <c r="G832" s="70"/>
      <c r="H832" s="70"/>
    </row>
    <row r="833">
      <c r="G833" s="70"/>
      <c r="H833" s="70"/>
    </row>
    <row r="834">
      <c r="G834" s="70"/>
      <c r="H834" s="70"/>
    </row>
    <row r="835">
      <c r="G835" s="70"/>
      <c r="H835" s="70"/>
    </row>
    <row r="836">
      <c r="G836" s="70"/>
      <c r="H836" s="70"/>
    </row>
    <row r="837">
      <c r="G837" s="70"/>
      <c r="H837" s="70"/>
    </row>
    <row r="838">
      <c r="G838" s="70"/>
      <c r="H838" s="70"/>
    </row>
    <row r="839">
      <c r="G839" s="70"/>
      <c r="H839" s="70"/>
    </row>
    <row r="840">
      <c r="G840" s="70"/>
      <c r="H840" s="70"/>
    </row>
    <row r="841">
      <c r="G841" s="70"/>
      <c r="H841" s="70"/>
    </row>
    <row r="842">
      <c r="G842" s="70"/>
      <c r="H842" s="70"/>
    </row>
    <row r="843">
      <c r="G843" s="70"/>
      <c r="H843" s="70"/>
    </row>
    <row r="844">
      <c r="G844" s="70"/>
      <c r="H844" s="70"/>
    </row>
    <row r="845">
      <c r="G845" s="70"/>
      <c r="H845" s="70"/>
    </row>
    <row r="846">
      <c r="G846" s="70"/>
      <c r="H846" s="70"/>
    </row>
    <row r="847">
      <c r="G847" s="70"/>
      <c r="H847" s="70"/>
    </row>
    <row r="848">
      <c r="G848" s="70"/>
      <c r="H848" s="70"/>
    </row>
    <row r="849">
      <c r="G849" s="70"/>
      <c r="H849" s="70"/>
    </row>
    <row r="850">
      <c r="G850" s="70"/>
      <c r="H850" s="70"/>
    </row>
    <row r="851">
      <c r="G851" s="70"/>
      <c r="H851" s="70"/>
    </row>
    <row r="852">
      <c r="G852" s="70"/>
      <c r="H852" s="70"/>
    </row>
    <row r="853">
      <c r="G853" s="70"/>
      <c r="H853" s="70"/>
    </row>
    <row r="854">
      <c r="G854" s="70"/>
      <c r="H854" s="70"/>
    </row>
    <row r="855">
      <c r="G855" s="70"/>
      <c r="H855" s="70"/>
    </row>
    <row r="856">
      <c r="G856" s="70"/>
      <c r="H856" s="70"/>
    </row>
    <row r="857">
      <c r="G857" s="70"/>
      <c r="H857" s="70"/>
    </row>
    <row r="858">
      <c r="G858" s="70"/>
      <c r="H858" s="70"/>
    </row>
    <row r="859">
      <c r="G859" s="70"/>
      <c r="H859" s="70"/>
    </row>
    <row r="860">
      <c r="G860" s="70"/>
      <c r="H860" s="70"/>
    </row>
    <row r="861">
      <c r="G861" s="70"/>
      <c r="H861" s="70"/>
    </row>
    <row r="862">
      <c r="G862" s="70"/>
      <c r="H862" s="70"/>
    </row>
    <row r="863">
      <c r="G863" s="70"/>
      <c r="H863" s="70"/>
    </row>
    <row r="864">
      <c r="G864" s="70"/>
      <c r="H864" s="70"/>
    </row>
    <row r="865">
      <c r="G865" s="70"/>
      <c r="H865" s="70"/>
    </row>
    <row r="866">
      <c r="G866" s="70"/>
      <c r="H866" s="70"/>
    </row>
    <row r="867">
      <c r="G867" s="70"/>
      <c r="H867" s="70"/>
    </row>
    <row r="868">
      <c r="G868" s="70"/>
      <c r="H868" s="70"/>
    </row>
    <row r="869">
      <c r="G869" s="70"/>
      <c r="H869" s="70"/>
    </row>
    <row r="870">
      <c r="G870" s="70"/>
      <c r="H870" s="70"/>
    </row>
    <row r="871">
      <c r="G871" s="70"/>
      <c r="H871" s="70"/>
    </row>
    <row r="872">
      <c r="G872" s="70"/>
      <c r="H872" s="70"/>
    </row>
    <row r="873">
      <c r="G873" s="70"/>
      <c r="H873" s="70"/>
    </row>
    <row r="874">
      <c r="G874" s="70"/>
      <c r="H874" s="70"/>
    </row>
    <row r="875">
      <c r="G875" s="70"/>
      <c r="H875" s="70"/>
    </row>
    <row r="876">
      <c r="G876" s="70"/>
      <c r="H876" s="70"/>
    </row>
    <row r="877">
      <c r="G877" s="70"/>
      <c r="H877" s="70"/>
    </row>
    <row r="878">
      <c r="G878" s="70"/>
      <c r="H878" s="70"/>
    </row>
    <row r="879">
      <c r="G879" s="70"/>
      <c r="H879" s="70"/>
    </row>
    <row r="880">
      <c r="G880" s="70"/>
      <c r="H880" s="70"/>
    </row>
    <row r="881">
      <c r="G881" s="70"/>
      <c r="H881" s="70"/>
    </row>
    <row r="882">
      <c r="G882" s="70"/>
      <c r="H882" s="70"/>
    </row>
    <row r="883">
      <c r="G883" s="70"/>
      <c r="H883" s="70"/>
    </row>
    <row r="884">
      <c r="G884" s="70"/>
      <c r="H884" s="70"/>
    </row>
    <row r="885">
      <c r="G885" s="70"/>
      <c r="H885" s="70"/>
    </row>
    <row r="886">
      <c r="G886" s="70"/>
      <c r="H886" s="70"/>
    </row>
    <row r="887">
      <c r="G887" s="70"/>
      <c r="H887" s="70"/>
    </row>
    <row r="888">
      <c r="G888" s="70"/>
      <c r="H888" s="70"/>
    </row>
    <row r="889">
      <c r="G889" s="70"/>
      <c r="H889" s="70"/>
    </row>
    <row r="890">
      <c r="G890" s="70"/>
      <c r="H890" s="70"/>
    </row>
    <row r="891">
      <c r="G891" s="70"/>
      <c r="H891" s="70"/>
    </row>
    <row r="892">
      <c r="G892" s="70"/>
      <c r="H892" s="70"/>
    </row>
    <row r="893">
      <c r="G893" s="70"/>
      <c r="H893" s="70"/>
    </row>
    <row r="894">
      <c r="G894" s="70"/>
      <c r="H894" s="70"/>
    </row>
    <row r="895">
      <c r="G895" s="70"/>
      <c r="H895" s="70"/>
    </row>
    <row r="896">
      <c r="G896" s="70"/>
      <c r="H896" s="70"/>
    </row>
    <row r="897">
      <c r="G897" s="70"/>
      <c r="H897" s="70"/>
    </row>
    <row r="898">
      <c r="G898" s="70"/>
      <c r="H898" s="70"/>
    </row>
    <row r="899">
      <c r="G899" s="70"/>
      <c r="H899" s="70"/>
    </row>
    <row r="900">
      <c r="G900" s="70"/>
      <c r="H900" s="70"/>
    </row>
    <row r="901">
      <c r="G901" s="70"/>
      <c r="H901" s="70"/>
    </row>
    <row r="902">
      <c r="G902" s="70"/>
      <c r="H902" s="70"/>
    </row>
    <row r="903">
      <c r="G903" s="70"/>
      <c r="H903" s="70"/>
    </row>
    <row r="904">
      <c r="G904" s="70"/>
      <c r="H904" s="70"/>
    </row>
    <row r="905">
      <c r="G905" s="70"/>
      <c r="H905" s="70"/>
    </row>
    <row r="906">
      <c r="G906" s="70"/>
      <c r="H906" s="70"/>
    </row>
    <row r="907">
      <c r="G907" s="70"/>
      <c r="H907" s="70"/>
    </row>
    <row r="908">
      <c r="G908" s="70"/>
      <c r="H908" s="70"/>
    </row>
    <row r="909">
      <c r="G909" s="70"/>
      <c r="H909" s="70"/>
    </row>
    <row r="910">
      <c r="G910" s="70"/>
      <c r="H910" s="70"/>
    </row>
    <row r="911">
      <c r="G911" s="70"/>
      <c r="H911" s="70"/>
    </row>
    <row r="912">
      <c r="G912" s="70"/>
      <c r="H912" s="70"/>
    </row>
    <row r="913">
      <c r="G913" s="70"/>
      <c r="H913" s="70"/>
    </row>
    <row r="914">
      <c r="G914" s="70"/>
      <c r="H914" s="70"/>
    </row>
    <row r="915">
      <c r="G915" s="70"/>
      <c r="H915" s="70"/>
    </row>
    <row r="916">
      <c r="G916" s="70"/>
      <c r="H916" s="70"/>
    </row>
    <row r="917">
      <c r="G917" s="70"/>
      <c r="H917" s="70"/>
    </row>
    <row r="918">
      <c r="G918" s="70"/>
      <c r="H918" s="70"/>
    </row>
    <row r="919">
      <c r="G919" s="70"/>
      <c r="H919" s="70"/>
    </row>
    <row r="920">
      <c r="G920" s="70"/>
      <c r="H920" s="70"/>
    </row>
    <row r="921">
      <c r="G921" s="70"/>
      <c r="H921" s="70"/>
    </row>
    <row r="922">
      <c r="G922" s="70"/>
      <c r="H922" s="70"/>
    </row>
    <row r="923">
      <c r="G923" s="70"/>
      <c r="H923" s="70"/>
    </row>
    <row r="924">
      <c r="G924" s="70"/>
      <c r="H924" s="70"/>
    </row>
    <row r="925">
      <c r="G925" s="70"/>
      <c r="H925" s="70"/>
    </row>
    <row r="926">
      <c r="G926" s="70"/>
      <c r="H926" s="70"/>
    </row>
    <row r="927">
      <c r="G927" s="70"/>
      <c r="H927" s="70"/>
    </row>
    <row r="928">
      <c r="G928" s="70"/>
      <c r="H928" s="70"/>
    </row>
    <row r="929">
      <c r="G929" s="70"/>
      <c r="H929" s="70"/>
    </row>
    <row r="930">
      <c r="G930" s="70"/>
      <c r="H930" s="70"/>
    </row>
    <row r="931">
      <c r="G931" s="70"/>
      <c r="H931" s="70"/>
    </row>
    <row r="932">
      <c r="G932" s="70"/>
      <c r="H932" s="70"/>
    </row>
    <row r="933">
      <c r="G933" s="70"/>
      <c r="H933" s="70"/>
    </row>
    <row r="934">
      <c r="G934" s="70"/>
      <c r="H934" s="70"/>
    </row>
    <row r="935">
      <c r="G935" s="70"/>
      <c r="H935" s="70"/>
    </row>
    <row r="936">
      <c r="G936" s="70"/>
      <c r="H936" s="70"/>
    </row>
    <row r="937">
      <c r="G937" s="70"/>
      <c r="H937" s="70"/>
    </row>
    <row r="938">
      <c r="G938" s="70"/>
      <c r="H938" s="70"/>
    </row>
    <row r="939">
      <c r="G939" s="70"/>
      <c r="H939" s="70"/>
    </row>
    <row r="940">
      <c r="G940" s="70"/>
      <c r="H940" s="70"/>
    </row>
    <row r="941">
      <c r="G941" s="70"/>
      <c r="H941" s="70"/>
    </row>
    <row r="942">
      <c r="G942" s="70"/>
      <c r="H942" s="70"/>
    </row>
    <row r="943">
      <c r="G943" s="70"/>
      <c r="H943" s="70"/>
    </row>
    <row r="944">
      <c r="G944" s="70"/>
      <c r="H944" s="70"/>
    </row>
    <row r="945">
      <c r="G945" s="70"/>
      <c r="H945" s="70"/>
    </row>
    <row r="946">
      <c r="G946" s="70"/>
      <c r="H946" s="70"/>
    </row>
    <row r="947">
      <c r="G947" s="70"/>
      <c r="H947" s="70"/>
    </row>
    <row r="948">
      <c r="G948" s="70"/>
      <c r="H948" s="70"/>
    </row>
    <row r="949">
      <c r="G949" s="70"/>
      <c r="H949" s="70"/>
    </row>
    <row r="950">
      <c r="G950" s="70"/>
      <c r="H950" s="70"/>
    </row>
    <row r="951">
      <c r="G951" s="70"/>
      <c r="H951" s="70"/>
    </row>
    <row r="952">
      <c r="G952" s="70"/>
      <c r="H952" s="70"/>
    </row>
    <row r="953">
      <c r="G953" s="70"/>
      <c r="H953" s="70"/>
    </row>
    <row r="954">
      <c r="G954" s="70"/>
      <c r="H954" s="70"/>
    </row>
    <row r="955">
      <c r="G955" s="70"/>
      <c r="H955" s="70"/>
    </row>
    <row r="956">
      <c r="G956" s="70"/>
      <c r="H956" s="70"/>
    </row>
    <row r="957">
      <c r="G957" s="70"/>
      <c r="H957" s="70"/>
    </row>
    <row r="958">
      <c r="G958" s="70"/>
      <c r="H958" s="70"/>
    </row>
    <row r="959">
      <c r="G959" s="70"/>
      <c r="H959" s="70"/>
    </row>
    <row r="960">
      <c r="G960" s="70"/>
      <c r="H960" s="70"/>
    </row>
    <row r="961">
      <c r="G961" s="70"/>
      <c r="H961" s="70"/>
    </row>
    <row r="962">
      <c r="G962" s="70"/>
      <c r="H962" s="70"/>
    </row>
    <row r="963">
      <c r="G963" s="70"/>
      <c r="H963" s="70"/>
    </row>
    <row r="964">
      <c r="G964" s="70"/>
      <c r="H964" s="70"/>
    </row>
    <row r="965">
      <c r="G965" s="70"/>
      <c r="H965" s="70"/>
    </row>
    <row r="966">
      <c r="G966" s="70"/>
      <c r="H966" s="70"/>
    </row>
    <row r="967">
      <c r="G967" s="70"/>
      <c r="H967" s="70"/>
    </row>
    <row r="968">
      <c r="G968" s="70"/>
      <c r="H968" s="70"/>
    </row>
    <row r="969">
      <c r="G969" s="70"/>
      <c r="H969" s="70"/>
    </row>
    <row r="970">
      <c r="G970" s="70"/>
      <c r="H970" s="70"/>
    </row>
    <row r="971">
      <c r="G971" s="70"/>
      <c r="H971" s="70"/>
    </row>
    <row r="972">
      <c r="G972" s="70"/>
      <c r="H972" s="70"/>
    </row>
    <row r="973">
      <c r="G973" s="70"/>
      <c r="H973" s="70"/>
    </row>
    <row r="974">
      <c r="G974" s="70"/>
      <c r="H974" s="70"/>
    </row>
    <row r="975">
      <c r="G975" s="70"/>
      <c r="H975" s="70"/>
    </row>
    <row r="976">
      <c r="G976" s="70"/>
      <c r="H976" s="70"/>
    </row>
    <row r="977">
      <c r="G977" s="70"/>
      <c r="H977" s="70"/>
    </row>
    <row r="978">
      <c r="G978" s="70"/>
      <c r="H978" s="70"/>
    </row>
    <row r="979">
      <c r="G979" s="70"/>
      <c r="H979" s="70"/>
    </row>
    <row r="980">
      <c r="G980" s="70"/>
      <c r="H980" s="70"/>
    </row>
    <row r="981">
      <c r="G981" s="70"/>
      <c r="H981" s="70"/>
    </row>
    <row r="982">
      <c r="G982" s="70"/>
      <c r="H982" s="70"/>
    </row>
    <row r="983">
      <c r="G983" s="70"/>
      <c r="H983" s="70"/>
    </row>
    <row r="984">
      <c r="G984" s="70"/>
      <c r="H984" s="70"/>
    </row>
    <row r="985">
      <c r="G985" s="70"/>
      <c r="H985" s="70"/>
    </row>
    <row r="986">
      <c r="G986" s="70"/>
      <c r="H986" s="70"/>
    </row>
    <row r="987">
      <c r="G987" s="70"/>
      <c r="H987" s="70"/>
    </row>
    <row r="988">
      <c r="G988" s="70"/>
      <c r="H988" s="70"/>
    </row>
    <row r="989">
      <c r="G989" s="70"/>
      <c r="H989" s="70"/>
    </row>
    <row r="990">
      <c r="G990" s="70"/>
      <c r="H990" s="70"/>
    </row>
    <row r="991">
      <c r="G991" s="70"/>
      <c r="H991" s="70"/>
    </row>
    <row r="992">
      <c r="G992" s="70"/>
      <c r="H992" s="70"/>
    </row>
    <row r="993">
      <c r="G993" s="70"/>
      <c r="H993" s="70"/>
    </row>
    <row r="994">
      <c r="G994" s="70"/>
      <c r="H994" s="70"/>
    </row>
    <row r="995">
      <c r="G995" s="70"/>
      <c r="H995" s="70"/>
    </row>
    <row r="996">
      <c r="G996" s="70"/>
      <c r="H996" s="70"/>
    </row>
    <row r="997">
      <c r="G997" s="70"/>
      <c r="H997" s="70"/>
    </row>
    <row r="998">
      <c r="G998" s="70"/>
      <c r="H998" s="70"/>
    </row>
    <row r="999">
      <c r="G999" s="70"/>
      <c r="H999" s="70"/>
    </row>
    <row r="1000">
      <c r="G1000" s="70"/>
      <c r="H1000" s="70"/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39" t="s">
        <v>377</v>
      </c>
      <c r="B1" s="39" t="s">
        <v>378</v>
      </c>
    </row>
    <row r="2">
      <c r="A2" s="39" t="s">
        <v>4045</v>
      </c>
      <c r="B2" s="39" t="s">
        <v>4050</v>
      </c>
    </row>
    <row r="3">
      <c r="A3" s="39" t="s">
        <v>4044</v>
      </c>
      <c r="B3" s="39" t="s">
        <v>4058</v>
      </c>
    </row>
    <row r="4">
      <c r="A4" s="39" t="s">
        <v>4043</v>
      </c>
      <c r="B4" s="39" t="s">
        <v>4064</v>
      </c>
    </row>
    <row r="5">
      <c r="A5" s="39" t="s">
        <v>4042</v>
      </c>
      <c r="B5" s="39" t="s">
        <v>4074</v>
      </c>
    </row>
    <row r="6">
      <c r="A6" s="39" t="s">
        <v>4041</v>
      </c>
      <c r="B6" s="39" t="s">
        <v>4080</v>
      </c>
    </row>
    <row r="7">
      <c r="A7" s="39" t="s">
        <v>4040</v>
      </c>
      <c r="B7" s="39" t="s">
        <v>4086</v>
      </c>
    </row>
    <row r="8">
      <c r="A8" s="39" t="s">
        <v>4039</v>
      </c>
      <c r="B8" s="39" t="s">
        <v>4092</v>
      </c>
    </row>
    <row r="9">
      <c r="A9" s="39" t="s">
        <v>4038</v>
      </c>
      <c r="B9" s="39" t="s">
        <v>4099</v>
      </c>
    </row>
    <row r="10">
      <c r="A10" s="39" t="s">
        <v>4036</v>
      </c>
      <c r="B10" s="39" t="s">
        <v>4106</v>
      </c>
    </row>
    <row r="11">
      <c r="A11" s="39" t="s">
        <v>4035</v>
      </c>
      <c r="B11" s="39" t="s">
        <v>4109</v>
      </c>
    </row>
    <row r="12">
      <c r="A12" s="39" t="s">
        <v>4034</v>
      </c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22</v>
      </c>
      <c r="B2" s="39" t="s">
        <v>11</v>
      </c>
      <c r="C2" s="39" t="s">
        <v>397</v>
      </c>
      <c r="D2" s="89">
        <v>46224.0</v>
      </c>
      <c r="E2" s="41" t="s">
        <v>4005</v>
      </c>
      <c r="H2" s="39">
        <v>50.0</v>
      </c>
      <c r="O2" s="39" t="s">
        <v>4074</v>
      </c>
    </row>
    <row r="3">
      <c r="A3" s="39" t="s">
        <v>22</v>
      </c>
      <c r="B3" s="39" t="s">
        <v>11</v>
      </c>
      <c r="C3" s="39" t="s">
        <v>397</v>
      </c>
      <c r="D3" s="41" t="s">
        <v>4117</v>
      </c>
      <c r="E3" s="89">
        <v>46375.0</v>
      </c>
      <c r="H3" s="39">
        <v>65.0</v>
      </c>
      <c r="O3" s="39" t="s">
        <v>4080</v>
      </c>
    </row>
    <row r="4">
      <c r="A4" s="39" t="s">
        <v>22</v>
      </c>
      <c r="B4" s="39" t="s">
        <v>11</v>
      </c>
      <c r="C4" s="39" t="s">
        <v>397</v>
      </c>
      <c r="D4" s="89">
        <v>46345.0</v>
      </c>
      <c r="E4" s="41" t="s">
        <v>4118</v>
      </c>
      <c r="H4" s="39">
        <v>70.0</v>
      </c>
      <c r="O4" s="39" t="s">
        <v>4082</v>
      </c>
    </row>
    <row r="5">
      <c r="A5" s="39" t="s">
        <v>22</v>
      </c>
      <c r="B5" s="39" t="s">
        <v>11</v>
      </c>
      <c r="C5" s="39" t="s">
        <v>397</v>
      </c>
      <c r="D5" s="70"/>
      <c r="E5" s="70"/>
      <c r="H5" s="39">
        <v>30.0</v>
      </c>
      <c r="O5" s="39" t="s">
        <v>4095</v>
      </c>
    </row>
    <row r="6">
      <c r="A6" s="39" t="s">
        <v>22</v>
      </c>
      <c r="B6" s="39" t="s">
        <v>11</v>
      </c>
      <c r="C6" s="39" t="s">
        <v>397</v>
      </c>
      <c r="D6" s="89">
        <v>46069.0</v>
      </c>
      <c r="E6" s="89">
        <v>46037.0</v>
      </c>
      <c r="H6" s="39">
        <v>40.0</v>
      </c>
      <c r="O6" s="39" t="s">
        <v>4095</v>
      </c>
    </row>
    <row r="7">
      <c r="A7" s="39" t="s">
        <v>22</v>
      </c>
      <c r="B7" s="39" t="s">
        <v>11</v>
      </c>
      <c r="C7" s="39" t="s">
        <v>397</v>
      </c>
      <c r="D7" s="89">
        <v>46248.0</v>
      </c>
      <c r="E7" s="89">
        <v>46156.0</v>
      </c>
      <c r="H7" s="39">
        <v>15.0</v>
      </c>
      <c r="O7" s="39" t="s">
        <v>4102</v>
      </c>
    </row>
    <row r="8">
      <c r="A8" s="39" t="s">
        <v>22</v>
      </c>
      <c r="B8" s="39" t="s">
        <v>11</v>
      </c>
      <c r="C8" s="39" t="s">
        <v>397</v>
      </c>
      <c r="D8" s="89">
        <v>46125.0</v>
      </c>
      <c r="E8" s="89">
        <v>46066.0</v>
      </c>
      <c r="H8" s="39">
        <v>35.0</v>
      </c>
      <c r="O8" s="39" t="s">
        <v>4106</v>
      </c>
    </row>
    <row r="9">
      <c r="A9" s="39" t="s">
        <v>22</v>
      </c>
      <c r="B9" s="39" t="s">
        <v>11</v>
      </c>
      <c r="C9" s="39" t="s">
        <v>397</v>
      </c>
      <c r="D9" s="89">
        <v>46122.0</v>
      </c>
      <c r="E9" s="41" t="s">
        <v>4119</v>
      </c>
      <c r="H9" s="39">
        <v>50.0</v>
      </c>
      <c r="O9" s="39" t="s">
        <v>4111</v>
      </c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8"/>
      <c r="E1" s="39" t="s">
        <v>4120</v>
      </c>
      <c r="F1" s="39" t="s">
        <v>2213</v>
      </c>
      <c r="M1" s="39" t="s">
        <v>4121</v>
      </c>
      <c r="N1" s="39" t="s">
        <v>4122</v>
      </c>
    </row>
    <row r="2">
      <c r="A2" s="92" t="s">
        <v>4123</v>
      </c>
      <c r="B2" s="19">
        <v>0.0</v>
      </c>
      <c r="C2" s="39">
        <v>0.0</v>
      </c>
      <c r="D2" s="40">
        <f t="shared" ref="D2:D112" si="1">C2/1000</f>
        <v>0</v>
      </c>
      <c r="E2" s="39">
        <v>111.0</v>
      </c>
      <c r="F2" s="40">
        <v>53.239</v>
      </c>
      <c r="H2" s="29">
        <v>53.21</v>
      </c>
      <c r="I2" s="93">
        <v>0.0</v>
      </c>
      <c r="J2" s="94"/>
      <c r="K2" s="40">
        <f t="shared" ref="K2:K64" si="2">$H$2+SUM($I$2:I2)/1000</f>
        <v>53.21</v>
      </c>
      <c r="M2" s="39">
        <v>102.0</v>
      </c>
      <c r="N2" s="40">
        <v>48.861</v>
      </c>
      <c r="P2" s="95">
        <v>0.0</v>
      </c>
      <c r="Q2" s="40">
        <f t="shared" ref="Q2:Q116" si="3">SUM($P$2:P2)/1000</f>
        <v>0</v>
      </c>
      <c r="X2" s="39">
        <v>1.0</v>
      </c>
    </row>
    <row r="3">
      <c r="A3" s="92" t="s">
        <v>406</v>
      </c>
      <c r="B3" s="92">
        <v>341.0</v>
      </c>
      <c r="C3" s="40">
        <f t="shared" ref="C3:C112" si="4">C2+B3</f>
        <v>341</v>
      </c>
      <c r="D3" s="40">
        <f t="shared" si="1"/>
        <v>0.341</v>
      </c>
      <c r="E3" s="39">
        <v>110.0</v>
      </c>
      <c r="F3" s="40">
        <v>52.744</v>
      </c>
      <c r="H3" s="20"/>
      <c r="I3" s="96">
        <v>875.0</v>
      </c>
      <c r="J3" s="97"/>
      <c r="K3" s="40">
        <f t="shared" si="2"/>
        <v>54.085</v>
      </c>
      <c r="M3" s="39">
        <v>101.0</v>
      </c>
      <c r="N3" s="40">
        <v>48.392</v>
      </c>
      <c r="P3" s="95">
        <v>617.0</v>
      </c>
      <c r="Q3" s="40">
        <f t="shared" si="3"/>
        <v>0.617</v>
      </c>
      <c r="T3" s="98">
        <v>112.0</v>
      </c>
      <c r="U3" s="99">
        <v>0.0</v>
      </c>
      <c r="V3" s="40">
        <f t="shared" ref="V3:V13" si="5">$T$3+SUM($U$3:U3)/1000</f>
        <v>112</v>
      </c>
      <c r="X3" s="39">
        <v>2.0</v>
      </c>
    </row>
    <row r="4">
      <c r="A4" s="92" t="s">
        <v>414</v>
      </c>
      <c r="B4" s="92">
        <v>242.0</v>
      </c>
      <c r="C4" s="40">
        <f t="shared" si="4"/>
        <v>583</v>
      </c>
      <c r="D4" s="40">
        <f t="shared" si="1"/>
        <v>0.583</v>
      </c>
      <c r="E4" s="39">
        <v>109.0</v>
      </c>
      <c r="F4" s="40">
        <v>52.374</v>
      </c>
      <c r="H4" s="20"/>
      <c r="I4" s="100">
        <v>810.0</v>
      </c>
      <c r="J4" s="101"/>
      <c r="K4" s="40">
        <f t="shared" si="2"/>
        <v>54.895</v>
      </c>
      <c r="M4" s="39">
        <v>100.0</v>
      </c>
      <c r="N4" s="40">
        <v>48.183</v>
      </c>
      <c r="P4" s="95">
        <v>250.0</v>
      </c>
      <c r="Q4" s="40">
        <f t="shared" si="3"/>
        <v>0.867</v>
      </c>
      <c r="T4" s="102"/>
      <c r="U4" s="103">
        <v>1009.9999999999909</v>
      </c>
      <c r="V4" s="40">
        <f t="shared" si="5"/>
        <v>113.01</v>
      </c>
      <c r="X4" s="39">
        <v>3.0</v>
      </c>
    </row>
    <row r="5">
      <c r="A5" s="92" t="s">
        <v>417</v>
      </c>
      <c r="B5" s="92">
        <v>584.0</v>
      </c>
      <c r="C5" s="40">
        <f t="shared" si="4"/>
        <v>1167</v>
      </c>
      <c r="D5" s="40">
        <f t="shared" si="1"/>
        <v>1.167</v>
      </c>
      <c r="E5" s="39">
        <v>108.0</v>
      </c>
      <c r="F5" s="40">
        <v>52.039</v>
      </c>
      <c r="H5" s="20"/>
      <c r="I5" s="104">
        <v>815.0</v>
      </c>
      <c r="J5" s="97"/>
      <c r="K5" s="40">
        <f t="shared" si="2"/>
        <v>55.71</v>
      </c>
      <c r="M5" s="39">
        <v>99.0</v>
      </c>
      <c r="N5" s="40">
        <v>47.91</v>
      </c>
      <c r="P5" s="105">
        <v>392.0</v>
      </c>
      <c r="Q5" s="40">
        <f t="shared" si="3"/>
        <v>1.259</v>
      </c>
      <c r="T5" s="102"/>
      <c r="U5" s="103">
        <v>1950.0000000000027</v>
      </c>
      <c r="V5" s="40">
        <f t="shared" si="5"/>
        <v>114.96</v>
      </c>
    </row>
    <row r="6">
      <c r="A6" s="92" t="s">
        <v>420</v>
      </c>
      <c r="B6" s="92">
        <v>798.0</v>
      </c>
      <c r="C6" s="40">
        <f t="shared" si="4"/>
        <v>1965</v>
      </c>
      <c r="D6" s="40">
        <f t="shared" si="1"/>
        <v>1.965</v>
      </c>
      <c r="E6" s="39">
        <v>107.0</v>
      </c>
      <c r="F6" s="40">
        <v>51.681</v>
      </c>
      <c r="H6" s="20"/>
      <c r="I6" s="100">
        <v>629.0</v>
      </c>
      <c r="J6" s="101"/>
      <c r="K6" s="40">
        <f t="shared" si="2"/>
        <v>56.339</v>
      </c>
      <c r="M6" s="39">
        <v>98.0</v>
      </c>
      <c r="N6" s="40">
        <v>47.612</v>
      </c>
      <c r="P6" s="95">
        <v>409.0</v>
      </c>
      <c r="Q6" s="40">
        <f t="shared" si="3"/>
        <v>1.668</v>
      </c>
      <c r="T6" s="102"/>
      <c r="U6" s="103">
        <v>60.000000000002274</v>
      </c>
      <c r="V6" s="40">
        <f t="shared" si="5"/>
        <v>115.02</v>
      </c>
    </row>
    <row r="7">
      <c r="A7" s="92" t="s">
        <v>422</v>
      </c>
      <c r="B7" s="92">
        <v>481.0</v>
      </c>
      <c r="C7" s="40">
        <f t="shared" si="4"/>
        <v>2446</v>
      </c>
      <c r="D7" s="40">
        <f t="shared" si="1"/>
        <v>2.446</v>
      </c>
      <c r="E7" s="39">
        <v>106.0</v>
      </c>
      <c r="F7" s="40">
        <v>51.141</v>
      </c>
      <c r="H7" s="20"/>
      <c r="I7" s="104">
        <v>731.0</v>
      </c>
      <c r="J7" s="97"/>
      <c r="K7" s="40">
        <f t="shared" si="2"/>
        <v>57.07</v>
      </c>
      <c r="M7" s="39">
        <v>97.0</v>
      </c>
      <c r="N7" s="40">
        <v>47.272</v>
      </c>
      <c r="P7" s="95">
        <v>339.0</v>
      </c>
      <c r="Q7" s="40">
        <f t="shared" si="3"/>
        <v>2.007</v>
      </c>
      <c r="T7" s="102"/>
      <c r="U7" s="103">
        <v>980.000000000004</v>
      </c>
      <c r="V7" s="40">
        <f t="shared" si="5"/>
        <v>116</v>
      </c>
    </row>
    <row r="8">
      <c r="A8" s="92" t="s">
        <v>424</v>
      </c>
      <c r="B8" s="92">
        <v>419.0</v>
      </c>
      <c r="C8" s="40">
        <f t="shared" si="4"/>
        <v>2865</v>
      </c>
      <c r="D8" s="40">
        <f t="shared" si="1"/>
        <v>2.865</v>
      </c>
      <c r="E8" s="39">
        <v>105.0</v>
      </c>
      <c r="F8" s="40">
        <v>50.641</v>
      </c>
      <c r="H8" s="20"/>
      <c r="I8" s="100">
        <v>669.0</v>
      </c>
      <c r="J8" s="101"/>
      <c r="K8" s="40">
        <f t="shared" si="2"/>
        <v>57.739</v>
      </c>
      <c r="M8" s="39">
        <v>96.0</v>
      </c>
      <c r="N8" s="40">
        <v>46.899</v>
      </c>
      <c r="P8" s="105">
        <v>427.0</v>
      </c>
      <c r="Q8" s="40">
        <f t="shared" si="3"/>
        <v>2.434</v>
      </c>
      <c r="T8" s="102"/>
      <c r="U8" s="103">
        <v>980.000000000004</v>
      </c>
      <c r="V8" s="40">
        <f t="shared" si="5"/>
        <v>116.98</v>
      </c>
    </row>
    <row r="9">
      <c r="A9" s="92" t="s">
        <v>426</v>
      </c>
      <c r="B9" s="92">
        <v>454.0</v>
      </c>
      <c r="C9" s="40">
        <f t="shared" si="4"/>
        <v>3319</v>
      </c>
      <c r="D9" s="40">
        <f t="shared" si="1"/>
        <v>3.319</v>
      </c>
      <c r="E9" s="39">
        <v>104.0</v>
      </c>
      <c r="F9" s="40">
        <v>50.227</v>
      </c>
      <c r="H9" s="20"/>
      <c r="I9" s="104">
        <v>443.0</v>
      </c>
      <c r="J9" s="97"/>
      <c r="K9" s="40">
        <f t="shared" si="2"/>
        <v>58.182</v>
      </c>
      <c r="M9" s="39">
        <v>95.0</v>
      </c>
      <c r="N9" s="40">
        <v>46.502</v>
      </c>
      <c r="P9" s="95">
        <v>501.0</v>
      </c>
      <c r="Q9" s="40">
        <f t="shared" si="3"/>
        <v>2.935</v>
      </c>
      <c r="T9" s="102"/>
      <c r="U9" s="103">
        <v>1039.999999999992</v>
      </c>
      <c r="V9" s="40">
        <f t="shared" si="5"/>
        <v>118.02</v>
      </c>
    </row>
    <row r="10">
      <c r="A10" s="92" t="s">
        <v>428</v>
      </c>
      <c r="B10" s="92">
        <v>471.0</v>
      </c>
      <c r="C10" s="40">
        <f t="shared" si="4"/>
        <v>3790</v>
      </c>
      <c r="D10" s="40">
        <f t="shared" si="1"/>
        <v>3.79</v>
      </c>
      <c r="E10" s="39">
        <v>103.0</v>
      </c>
      <c r="F10" s="40">
        <v>49.867</v>
      </c>
      <c r="H10" s="20"/>
      <c r="I10" s="100">
        <v>619.0</v>
      </c>
      <c r="J10" s="101"/>
      <c r="K10" s="40">
        <f t="shared" si="2"/>
        <v>58.801</v>
      </c>
      <c r="M10" s="39">
        <v>94.0</v>
      </c>
      <c r="N10" s="40">
        <v>46.165</v>
      </c>
      <c r="P10" s="95">
        <v>446.0</v>
      </c>
      <c r="Q10" s="40">
        <f t="shared" si="3"/>
        <v>3.381</v>
      </c>
      <c r="T10" s="102"/>
      <c r="U10" s="103">
        <v>829.9999999999983</v>
      </c>
      <c r="V10" s="40">
        <f t="shared" si="5"/>
        <v>118.85</v>
      </c>
    </row>
    <row r="11">
      <c r="A11" s="92" t="s">
        <v>430</v>
      </c>
      <c r="B11" s="92">
        <v>399.0</v>
      </c>
      <c r="C11" s="40">
        <f t="shared" si="4"/>
        <v>4189</v>
      </c>
      <c r="D11" s="40">
        <f t="shared" si="1"/>
        <v>4.189</v>
      </c>
      <c r="E11" s="39">
        <v>102.0</v>
      </c>
      <c r="F11" s="40">
        <v>49.098</v>
      </c>
      <c r="H11" s="20"/>
      <c r="I11" s="104">
        <v>574.0</v>
      </c>
      <c r="J11" s="97"/>
      <c r="K11" s="40">
        <f t="shared" si="2"/>
        <v>59.375</v>
      </c>
      <c r="M11" s="39">
        <v>93.0</v>
      </c>
      <c r="N11" s="40">
        <v>45.827</v>
      </c>
      <c r="P11" s="95">
        <v>396.0</v>
      </c>
      <c r="Q11" s="40">
        <f t="shared" si="3"/>
        <v>3.777</v>
      </c>
      <c r="T11" s="102"/>
      <c r="U11" s="103">
        <v>1010.0000000000051</v>
      </c>
      <c r="V11" s="40">
        <f t="shared" si="5"/>
        <v>119.86</v>
      </c>
    </row>
    <row r="12">
      <c r="A12" s="92" t="s">
        <v>432</v>
      </c>
      <c r="B12" s="92">
        <v>481.0</v>
      </c>
      <c r="C12" s="40">
        <f t="shared" si="4"/>
        <v>4670</v>
      </c>
      <c r="D12" s="40">
        <f t="shared" si="1"/>
        <v>4.67</v>
      </c>
      <c r="E12" s="39">
        <v>101.0</v>
      </c>
      <c r="F12" s="40">
        <v>48.568</v>
      </c>
      <c r="H12" s="20"/>
      <c r="I12" s="100">
        <v>757.0</v>
      </c>
      <c r="J12" s="101"/>
      <c r="K12" s="40">
        <f t="shared" si="2"/>
        <v>60.132</v>
      </c>
      <c r="M12" s="39">
        <v>92.0</v>
      </c>
      <c r="N12" s="40">
        <v>45.383</v>
      </c>
      <c r="P12" s="105">
        <v>433.0</v>
      </c>
      <c r="Q12" s="40">
        <f t="shared" si="3"/>
        <v>4.21</v>
      </c>
      <c r="T12" s="102"/>
      <c r="U12" s="103">
        <v>1939.9999999999977</v>
      </c>
      <c r="V12" s="40">
        <f t="shared" si="5"/>
        <v>121.8</v>
      </c>
    </row>
    <row r="13">
      <c r="A13" s="92" t="s">
        <v>434</v>
      </c>
      <c r="B13" s="19">
        <v>510.0</v>
      </c>
      <c r="C13" s="40">
        <f t="shared" si="4"/>
        <v>5180</v>
      </c>
      <c r="D13" s="40">
        <f t="shared" si="1"/>
        <v>5.18</v>
      </c>
      <c r="E13" s="39">
        <v>100.0</v>
      </c>
      <c r="F13" s="40">
        <v>48.223</v>
      </c>
      <c r="H13" s="20"/>
      <c r="I13" s="104">
        <v>776.0</v>
      </c>
      <c r="J13" s="97"/>
      <c r="K13" s="40">
        <f t="shared" si="2"/>
        <v>60.908</v>
      </c>
      <c r="M13" s="39">
        <v>91.0</v>
      </c>
      <c r="N13" s="40">
        <v>44.957</v>
      </c>
      <c r="P13" s="95">
        <v>371.0</v>
      </c>
      <c r="Q13" s="40">
        <f t="shared" si="3"/>
        <v>4.581</v>
      </c>
      <c r="T13" s="102"/>
      <c r="U13" s="103">
        <v>1019.999999999996</v>
      </c>
      <c r="V13" s="40">
        <f t="shared" si="5"/>
        <v>122.82</v>
      </c>
    </row>
    <row r="14">
      <c r="A14" s="92" t="s">
        <v>436</v>
      </c>
      <c r="B14" s="92">
        <v>342.0</v>
      </c>
      <c r="C14" s="40">
        <f t="shared" si="4"/>
        <v>5522</v>
      </c>
      <c r="D14" s="40">
        <f t="shared" si="1"/>
        <v>5.522</v>
      </c>
      <c r="E14" s="39">
        <v>99.0</v>
      </c>
      <c r="F14" s="40">
        <v>47.883</v>
      </c>
      <c r="H14" s="20"/>
      <c r="I14" s="100">
        <v>728.0</v>
      </c>
      <c r="J14" s="101"/>
      <c r="K14" s="40">
        <f t="shared" si="2"/>
        <v>61.636</v>
      </c>
      <c r="M14" s="39">
        <v>90.0</v>
      </c>
      <c r="N14" s="40">
        <v>44.542</v>
      </c>
      <c r="P14" s="95">
        <v>364.0</v>
      </c>
      <c r="Q14" s="40">
        <f t="shared" si="3"/>
        <v>4.945</v>
      </c>
      <c r="T14" s="102"/>
      <c r="U14" s="103"/>
      <c r="V14" s="40">
        <f t="shared" ref="V14:V49" si="6">$T$3-SUM($U$3:U14)/1000</f>
        <v>101.18</v>
      </c>
    </row>
    <row r="15">
      <c r="A15" s="92" t="s">
        <v>438</v>
      </c>
      <c r="B15" s="92">
        <v>390.0</v>
      </c>
      <c r="C15" s="40">
        <f t="shared" si="4"/>
        <v>5912</v>
      </c>
      <c r="D15" s="40">
        <f t="shared" si="1"/>
        <v>5.912</v>
      </c>
      <c r="E15" s="39">
        <v>98.0</v>
      </c>
      <c r="F15" s="40">
        <v>47.383</v>
      </c>
      <c r="H15" s="20"/>
      <c r="I15" s="104">
        <v>720.0</v>
      </c>
      <c r="J15" s="97"/>
      <c r="K15" s="40">
        <f t="shared" si="2"/>
        <v>62.356</v>
      </c>
      <c r="M15" s="39">
        <v>89.0</v>
      </c>
      <c r="N15" s="40">
        <v>44.053</v>
      </c>
      <c r="P15" s="105">
        <v>421.0</v>
      </c>
      <c r="Q15" s="40">
        <f t="shared" si="3"/>
        <v>5.366</v>
      </c>
      <c r="T15" s="102"/>
      <c r="U15" s="103"/>
      <c r="V15" s="40">
        <f t="shared" si="6"/>
        <v>101.18</v>
      </c>
    </row>
    <row r="16">
      <c r="A16" s="92" t="s">
        <v>440</v>
      </c>
      <c r="B16" s="92">
        <v>661.0</v>
      </c>
      <c r="C16" s="40">
        <f t="shared" si="4"/>
        <v>6573</v>
      </c>
      <c r="D16" s="40">
        <f t="shared" si="1"/>
        <v>6.573</v>
      </c>
      <c r="E16" s="39">
        <v>97.0</v>
      </c>
      <c r="F16" s="40">
        <v>46.71</v>
      </c>
      <c r="H16" s="20"/>
      <c r="I16" s="100">
        <v>1330.0</v>
      </c>
      <c r="J16" s="101"/>
      <c r="K16" s="40">
        <f t="shared" si="2"/>
        <v>63.686</v>
      </c>
      <c r="M16" s="39">
        <v>88.0</v>
      </c>
      <c r="N16" s="40">
        <v>43.5</v>
      </c>
      <c r="P16" s="95">
        <v>325.0</v>
      </c>
      <c r="Q16" s="40">
        <f t="shared" si="3"/>
        <v>5.691</v>
      </c>
      <c r="T16" s="102"/>
      <c r="U16" s="103"/>
      <c r="V16" s="40">
        <f t="shared" si="6"/>
        <v>101.18</v>
      </c>
    </row>
    <row r="17">
      <c r="A17" s="92" t="s">
        <v>442</v>
      </c>
      <c r="B17" s="92">
        <v>601.0</v>
      </c>
      <c r="C17" s="40">
        <f t="shared" si="4"/>
        <v>7174</v>
      </c>
      <c r="D17" s="40">
        <f t="shared" si="1"/>
        <v>7.174</v>
      </c>
      <c r="E17" s="39">
        <v>96.0</v>
      </c>
      <c r="F17" s="40">
        <v>46.01</v>
      </c>
      <c r="H17" s="20"/>
      <c r="I17" s="104">
        <v>427.0</v>
      </c>
      <c r="K17" s="40">
        <f t="shared" si="2"/>
        <v>64.113</v>
      </c>
      <c r="M17" s="39">
        <v>87.0</v>
      </c>
      <c r="N17" s="40">
        <v>43.082</v>
      </c>
      <c r="P17" s="105">
        <v>459.0</v>
      </c>
      <c r="Q17" s="40">
        <f t="shared" si="3"/>
        <v>6.15</v>
      </c>
      <c r="T17" s="102"/>
      <c r="U17" s="103">
        <v>1100.0000000000086</v>
      </c>
      <c r="V17" s="40">
        <f t="shared" si="6"/>
        <v>100.08</v>
      </c>
    </row>
    <row r="18">
      <c r="A18" s="92" t="s">
        <v>444</v>
      </c>
      <c r="B18" s="92">
        <v>390.0</v>
      </c>
      <c r="C18" s="40">
        <f t="shared" si="4"/>
        <v>7564</v>
      </c>
      <c r="D18" s="40">
        <f t="shared" si="1"/>
        <v>7.564</v>
      </c>
      <c r="E18" s="39">
        <v>95.0</v>
      </c>
      <c r="F18" s="40">
        <v>45.31</v>
      </c>
      <c r="H18" s="20"/>
      <c r="I18" s="106">
        <v>381.0</v>
      </c>
      <c r="K18" s="40">
        <f t="shared" si="2"/>
        <v>64.494</v>
      </c>
      <c r="M18" s="39">
        <v>86.0</v>
      </c>
      <c r="N18" s="40">
        <v>42.7</v>
      </c>
      <c r="P18" s="95">
        <v>420.0</v>
      </c>
      <c r="Q18" s="40">
        <f t="shared" si="3"/>
        <v>6.57</v>
      </c>
      <c r="T18" s="102"/>
      <c r="U18" s="103">
        <v>1099.9999999999943</v>
      </c>
      <c r="V18" s="40">
        <f t="shared" si="6"/>
        <v>98.98</v>
      </c>
    </row>
    <row r="19">
      <c r="A19" s="92" t="s">
        <v>446</v>
      </c>
      <c r="B19" s="92">
        <v>400.0</v>
      </c>
      <c r="C19" s="40">
        <f t="shared" si="4"/>
        <v>7964</v>
      </c>
      <c r="D19" s="40">
        <f t="shared" si="1"/>
        <v>7.964</v>
      </c>
      <c r="E19" s="39">
        <v>94.0</v>
      </c>
      <c r="F19" s="40">
        <v>44.922</v>
      </c>
      <c r="H19" s="20"/>
      <c r="I19" s="48">
        <v>551.0</v>
      </c>
      <c r="K19" s="40">
        <f t="shared" si="2"/>
        <v>65.045</v>
      </c>
      <c r="M19" s="39">
        <v>85.0</v>
      </c>
      <c r="N19" s="40">
        <v>42.131</v>
      </c>
      <c r="P19" s="95">
        <v>543.0</v>
      </c>
      <c r="Q19" s="40">
        <f t="shared" si="3"/>
        <v>7.113</v>
      </c>
      <c r="T19" s="102"/>
      <c r="U19" s="103">
        <v>400.0000000000057</v>
      </c>
      <c r="V19" s="40">
        <f t="shared" si="6"/>
        <v>98.58</v>
      </c>
    </row>
    <row r="20">
      <c r="A20" s="92" t="s">
        <v>448</v>
      </c>
      <c r="B20" s="92">
        <v>382.0</v>
      </c>
      <c r="C20" s="40">
        <f t="shared" si="4"/>
        <v>8346</v>
      </c>
      <c r="D20" s="40">
        <f t="shared" si="1"/>
        <v>8.346</v>
      </c>
      <c r="E20" s="39">
        <v>93.0</v>
      </c>
      <c r="F20" s="40">
        <v>44.65</v>
      </c>
      <c r="H20" s="20"/>
      <c r="I20" s="48">
        <v>1010.0</v>
      </c>
      <c r="K20" s="40">
        <f t="shared" si="2"/>
        <v>66.055</v>
      </c>
      <c r="M20" s="39">
        <v>84.0</v>
      </c>
      <c r="N20" s="40">
        <v>41.736</v>
      </c>
      <c r="P20" s="95">
        <v>453.0</v>
      </c>
      <c r="Q20" s="40">
        <f t="shared" si="3"/>
        <v>7.566</v>
      </c>
      <c r="T20" s="102"/>
      <c r="U20" s="103">
        <v>4000.0</v>
      </c>
      <c r="V20" s="40">
        <f t="shared" si="6"/>
        <v>94.58</v>
      </c>
    </row>
    <row r="21">
      <c r="A21" s="92" t="s">
        <v>450</v>
      </c>
      <c r="B21" s="92">
        <v>390.0</v>
      </c>
      <c r="C21" s="40">
        <f t="shared" si="4"/>
        <v>8736</v>
      </c>
      <c r="D21" s="40">
        <f t="shared" si="1"/>
        <v>8.736</v>
      </c>
      <c r="E21" s="39">
        <v>92.0</v>
      </c>
      <c r="F21" s="40">
        <v>44.415</v>
      </c>
      <c r="H21" s="20"/>
      <c r="I21" s="48">
        <v>684.0</v>
      </c>
      <c r="K21" s="40">
        <f t="shared" si="2"/>
        <v>66.739</v>
      </c>
      <c r="M21" s="39">
        <v>83.0</v>
      </c>
      <c r="N21" s="40">
        <v>41.13</v>
      </c>
      <c r="P21" s="105">
        <v>523.0</v>
      </c>
      <c r="Q21" s="40">
        <f t="shared" si="3"/>
        <v>8.089</v>
      </c>
      <c r="T21" s="102"/>
      <c r="U21" s="103">
        <v>1000.0</v>
      </c>
      <c r="V21" s="40">
        <f t="shared" si="6"/>
        <v>93.58</v>
      </c>
    </row>
    <row r="22">
      <c r="A22" s="92" t="s">
        <v>452</v>
      </c>
      <c r="B22" s="92">
        <v>390.0</v>
      </c>
      <c r="C22" s="40">
        <f t="shared" si="4"/>
        <v>9126</v>
      </c>
      <c r="D22" s="40">
        <f t="shared" si="1"/>
        <v>9.126</v>
      </c>
      <c r="E22" s="39">
        <v>91.0</v>
      </c>
      <c r="F22" s="40">
        <v>44.148</v>
      </c>
      <c r="H22" s="20"/>
      <c r="I22" s="48">
        <v>1150.0</v>
      </c>
      <c r="K22" s="40">
        <f t="shared" si="2"/>
        <v>67.889</v>
      </c>
      <c r="M22" s="39">
        <v>82.0</v>
      </c>
      <c r="N22" s="40">
        <v>40.552</v>
      </c>
      <c r="P22" s="95">
        <v>468.0</v>
      </c>
      <c r="Q22" s="40">
        <f t="shared" si="3"/>
        <v>8.557</v>
      </c>
      <c r="T22" s="102"/>
      <c r="U22" s="103">
        <v>2099.9999999999945</v>
      </c>
      <c r="V22" s="40">
        <f t="shared" si="6"/>
        <v>91.48</v>
      </c>
    </row>
    <row r="23">
      <c r="A23" s="92" t="s">
        <v>454</v>
      </c>
      <c r="B23" s="92">
        <v>390.0</v>
      </c>
      <c r="C23" s="40">
        <f t="shared" si="4"/>
        <v>9516</v>
      </c>
      <c r="D23" s="40">
        <f t="shared" si="1"/>
        <v>9.516</v>
      </c>
      <c r="E23" s="39">
        <v>90.0</v>
      </c>
      <c r="F23" s="40">
        <v>43.689</v>
      </c>
      <c r="H23" s="20"/>
      <c r="I23" s="48">
        <v>1550.0</v>
      </c>
      <c r="K23" s="40">
        <f t="shared" si="2"/>
        <v>69.439</v>
      </c>
      <c r="M23" s="39">
        <v>81.0</v>
      </c>
      <c r="N23" s="40">
        <v>40.067</v>
      </c>
      <c r="P23" s="105">
        <v>438.0</v>
      </c>
      <c r="Q23" s="40">
        <f t="shared" si="3"/>
        <v>8.995</v>
      </c>
      <c r="T23" s="102"/>
      <c r="U23" s="103">
        <v>1000.0</v>
      </c>
      <c r="V23" s="40">
        <f t="shared" si="6"/>
        <v>90.48</v>
      </c>
    </row>
    <row r="24">
      <c r="A24" s="92" t="s">
        <v>456</v>
      </c>
      <c r="B24" s="92">
        <v>477.0</v>
      </c>
      <c r="C24" s="40">
        <f t="shared" si="4"/>
        <v>9993</v>
      </c>
      <c r="D24" s="40">
        <f t="shared" si="1"/>
        <v>9.993</v>
      </c>
      <c r="E24" s="39">
        <v>89.0</v>
      </c>
      <c r="F24" s="40">
        <v>43.321</v>
      </c>
      <c r="H24" s="20"/>
      <c r="I24" s="48">
        <v>1360.0</v>
      </c>
      <c r="K24" s="40">
        <f t="shared" si="2"/>
        <v>70.799</v>
      </c>
      <c r="M24" s="39">
        <v>80.0</v>
      </c>
      <c r="N24" s="40">
        <v>39.669</v>
      </c>
      <c r="P24" s="95">
        <v>540.0</v>
      </c>
      <c r="Q24" s="40">
        <f t="shared" si="3"/>
        <v>9.535</v>
      </c>
      <c r="T24" s="102"/>
      <c r="U24" s="19">
        <v>1000.0</v>
      </c>
      <c r="V24" s="40">
        <f t="shared" si="6"/>
        <v>89.48</v>
      </c>
    </row>
    <row r="25">
      <c r="A25" s="92" t="s">
        <v>458</v>
      </c>
      <c r="B25" s="92">
        <v>396.0</v>
      </c>
      <c r="C25" s="40">
        <f t="shared" si="4"/>
        <v>10389</v>
      </c>
      <c r="D25" s="40">
        <f t="shared" si="1"/>
        <v>10.389</v>
      </c>
      <c r="E25" s="39">
        <v>88.0</v>
      </c>
      <c r="F25" s="40">
        <v>42.803</v>
      </c>
      <c r="H25" s="20"/>
      <c r="I25" s="48">
        <v>1330.0</v>
      </c>
      <c r="K25" s="40">
        <f t="shared" si="2"/>
        <v>72.129</v>
      </c>
      <c r="M25" s="39">
        <v>79.0</v>
      </c>
      <c r="N25" s="40">
        <v>39.122</v>
      </c>
      <c r="P25" s="95">
        <v>420.0</v>
      </c>
      <c r="Q25" s="40">
        <f t="shared" si="3"/>
        <v>9.955</v>
      </c>
      <c r="T25" s="102"/>
      <c r="U25" s="19">
        <v>2099.9999999999945</v>
      </c>
      <c r="V25" s="40">
        <f t="shared" si="6"/>
        <v>87.38</v>
      </c>
    </row>
    <row r="26">
      <c r="A26" s="92" t="s">
        <v>460</v>
      </c>
      <c r="B26" s="19">
        <v>460.0</v>
      </c>
      <c r="C26" s="40">
        <f t="shared" si="4"/>
        <v>10849</v>
      </c>
      <c r="D26" s="40">
        <f t="shared" si="1"/>
        <v>10.849</v>
      </c>
      <c r="E26" s="39">
        <v>87.0</v>
      </c>
      <c r="F26" s="40">
        <v>42.212</v>
      </c>
      <c r="H26" s="20"/>
      <c r="I26" s="48">
        <v>460.0</v>
      </c>
      <c r="K26" s="40">
        <f t="shared" si="2"/>
        <v>72.589</v>
      </c>
      <c r="M26" s="39">
        <v>78.0</v>
      </c>
      <c r="N26" s="40">
        <v>38.374</v>
      </c>
      <c r="P26" s="105">
        <v>464.0</v>
      </c>
      <c r="Q26" s="40">
        <f t="shared" si="3"/>
        <v>10.419</v>
      </c>
      <c r="T26" s="102"/>
      <c r="U26" s="107">
        <v>1000.0</v>
      </c>
      <c r="V26" s="40">
        <f t="shared" si="6"/>
        <v>86.38</v>
      </c>
    </row>
    <row r="27">
      <c r="A27" s="92" t="s">
        <v>462</v>
      </c>
      <c r="B27" s="92">
        <v>334.0</v>
      </c>
      <c r="C27" s="40">
        <f t="shared" si="4"/>
        <v>11183</v>
      </c>
      <c r="D27" s="40">
        <f t="shared" si="1"/>
        <v>11.183</v>
      </c>
      <c r="E27" s="39">
        <v>86.0</v>
      </c>
      <c r="F27" s="40">
        <v>41.766</v>
      </c>
      <c r="H27" s="20"/>
      <c r="I27" s="48">
        <v>1870.0</v>
      </c>
      <c r="K27" s="40">
        <f t="shared" si="2"/>
        <v>74.459</v>
      </c>
      <c r="M27" s="39">
        <v>77.0</v>
      </c>
      <c r="N27" s="40">
        <v>37.952</v>
      </c>
      <c r="P27" s="95">
        <v>414.0</v>
      </c>
      <c r="Q27" s="40">
        <f t="shared" si="3"/>
        <v>10.833</v>
      </c>
      <c r="T27" s="102"/>
      <c r="U27" s="19">
        <v>1300.0000000000114</v>
      </c>
      <c r="V27" s="40">
        <f t="shared" si="6"/>
        <v>85.08</v>
      </c>
    </row>
    <row r="28">
      <c r="A28" s="92" t="s">
        <v>465</v>
      </c>
      <c r="B28" s="92">
        <v>471.0</v>
      </c>
      <c r="C28" s="40">
        <f t="shared" si="4"/>
        <v>11654</v>
      </c>
      <c r="D28" s="40">
        <f t="shared" si="1"/>
        <v>11.654</v>
      </c>
      <c r="E28" s="39">
        <v>85.0</v>
      </c>
      <c r="F28" s="40">
        <v>41.416</v>
      </c>
      <c r="H28" s="20"/>
      <c r="I28" s="48">
        <v>1040.0</v>
      </c>
      <c r="K28" s="40">
        <f t="shared" si="2"/>
        <v>75.499</v>
      </c>
      <c r="M28" s="39">
        <v>76.0</v>
      </c>
      <c r="N28" s="40">
        <v>37.016</v>
      </c>
      <c r="P28" s="95">
        <v>449.0</v>
      </c>
      <c r="Q28" s="40">
        <f t="shared" si="3"/>
        <v>11.282</v>
      </c>
      <c r="T28" s="102"/>
      <c r="U28" s="40">
        <v>599.9999999999943</v>
      </c>
      <c r="V28" s="40">
        <f t="shared" si="6"/>
        <v>84.48</v>
      </c>
    </row>
    <row r="29">
      <c r="A29" s="92" t="s">
        <v>467</v>
      </c>
      <c r="B29" s="92">
        <v>442.0</v>
      </c>
      <c r="C29" s="40">
        <f t="shared" si="4"/>
        <v>12096</v>
      </c>
      <c r="D29" s="40">
        <f t="shared" si="1"/>
        <v>12.096</v>
      </c>
      <c r="E29" s="39">
        <v>84.0</v>
      </c>
      <c r="F29" s="40">
        <v>41.026</v>
      </c>
      <c r="H29" s="20"/>
      <c r="I29" s="48">
        <v>1400.0</v>
      </c>
      <c r="K29" s="40">
        <f t="shared" si="2"/>
        <v>76.899</v>
      </c>
      <c r="M29" s="39">
        <v>75.0</v>
      </c>
      <c r="N29" s="40">
        <v>36.231</v>
      </c>
      <c r="P29" s="95">
        <v>442.0</v>
      </c>
      <c r="Q29" s="40">
        <f t="shared" si="3"/>
        <v>11.724</v>
      </c>
      <c r="U29" s="40">
        <v>3099.9999999999945</v>
      </c>
      <c r="V29" s="40">
        <f t="shared" si="6"/>
        <v>81.38</v>
      </c>
    </row>
    <row r="30">
      <c r="A30" s="92" t="s">
        <v>469</v>
      </c>
      <c r="B30" s="92">
        <v>367.0</v>
      </c>
      <c r="C30" s="40">
        <f t="shared" si="4"/>
        <v>12463</v>
      </c>
      <c r="D30" s="40">
        <f t="shared" si="1"/>
        <v>12.463</v>
      </c>
      <c r="E30" s="39">
        <v>83.0</v>
      </c>
      <c r="F30" s="40">
        <v>40.636</v>
      </c>
      <c r="H30" s="20"/>
      <c r="I30" s="48">
        <v>1350.0</v>
      </c>
      <c r="K30" s="40">
        <f t="shared" si="2"/>
        <v>78.249</v>
      </c>
      <c r="M30" s="39">
        <v>74.0</v>
      </c>
      <c r="N30" s="40">
        <v>35.352</v>
      </c>
      <c r="P30" s="95">
        <v>455.0</v>
      </c>
      <c r="Q30" s="40">
        <f t="shared" si="3"/>
        <v>12.179</v>
      </c>
      <c r="U30" s="40">
        <v>1000.0</v>
      </c>
      <c r="V30" s="40">
        <f t="shared" si="6"/>
        <v>80.38</v>
      </c>
    </row>
    <row r="31">
      <c r="A31" s="92" t="s">
        <v>471</v>
      </c>
      <c r="B31" s="19">
        <v>839.0</v>
      </c>
      <c r="C31" s="40">
        <f t="shared" si="4"/>
        <v>13302</v>
      </c>
      <c r="D31" s="40">
        <f t="shared" si="1"/>
        <v>13.302</v>
      </c>
      <c r="E31" s="39">
        <v>82.0</v>
      </c>
      <c r="F31" s="40">
        <v>40.23</v>
      </c>
      <c r="H31" s="20"/>
      <c r="I31" s="48">
        <v>1210.0</v>
      </c>
      <c r="K31" s="40">
        <f t="shared" si="2"/>
        <v>79.459</v>
      </c>
      <c r="M31" s="39">
        <v>73.0</v>
      </c>
      <c r="N31" s="40">
        <v>34.821</v>
      </c>
      <c r="P31" s="95">
        <v>425.0</v>
      </c>
      <c r="Q31" s="40">
        <f t="shared" si="3"/>
        <v>12.604</v>
      </c>
      <c r="U31" s="40">
        <v>3600.0000000000086</v>
      </c>
      <c r="V31" s="40">
        <f t="shared" si="6"/>
        <v>76.78</v>
      </c>
    </row>
    <row r="32">
      <c r="A32" s="92" t="s">
        <v>473</v>
      </c>
      <c r="B32" s="92">
        <v>430.0</v>
      </c>
      <c r="C32" s="40">
        <f t="shared" si="4"/>
        <v>13732</v>
      </c>
      <c r="D32" s="40">
        <f t="shared" si="1"/>
        <v>13.732</v>
      </c>
      <c r="E32" s="39">
        <v>81.0</v>
      </c>
      <c r="F32" s="40">
        <v>39.564</v>
      </c>
      <c r="H32" s="20"/>
      <c r="I32" s="48">
        <v>397.0</v>
      </c>
      <c r="K32" s="40">
        <f t="shared" si="2"/>
        <v>79.856</v>
      </c>
      <c r="M32" s="39">
        <v>72.0</v>
      </c>
      <c r="N32" s="40">
        <v>34.152</v>
      </c>
      <c r="P32" s="105">
        <v>503.0</v>
      </c>
      <c r="Q32" s="40">
        <f t="shared" si="3"/>
        <v>13.107</v>
      </c>
      <c r="U32" s="40">
        <v>1200.0000000000027</v>
      </c>
      <c r="V32" s="40">
        <f t="shared" si="6"/>
        <v>75.58</v>
      </c>
    </row>
    <row r="33">
      <c r="A33" s="92" t="s">
        <v>475</v>
      </c>
      <c r="B33" s="92">
        <v>526.0</v>
      </c>
      <c r="C33" s="40">
        <f t="shared" si="4"/>
        <v>14258</v>
      </c>
      <c r="D33" s="40">
        <f t="shared" si="1"/>
        <v>14.258</v>
      </c>
      <c r="E33" s="39">
        <v>80.0</v>
      </c>
      <c r="F33" s="40">
        <v>38.917</v>
      </c>
      <c r="H33" s="20"/>
      <c r="I33" s="48">
        <v>453.0</v>
      </c>
      <c r="K33" s="40">
        <f t="shared" si="2"/>
        <v>80.309</v>
      </c>
      <c r="M33" s="39">
        <v>71.0</v>
      </c>
      <c r="N33" s="40">
        <v>33.396</v>
      </c>
      <c r="P33" s="95">
        <v>670.0</v>
      </c>
      <c r="Q33" s="40">
        <f t="shared" si="3"/>
        <v>13.777</v>
      </c>
      <c r="U33" s="40">
        <v>1000.0</v>
      </c>
      <c r="V33" s="40">
        <f t="shared" si="6"/>
        <v>74.58</v>
      </c>
    </row>
    <row r="34">
      <c r="A34" s="92" t="s">
        <v>477</v>
      </c>
      <c r="B34" s="92">
        <v>578.0</v>
      </c>
      <c r="C34" s="40">
        <f t="shared" si="4"/>
        <v>14836</v>
      </c>
      <c r="D34" s="40">
        <f t="shared" si="1"/>
        <v>14.836</v>
      </c>
      <c r="E34" s="39">
        <v>79.0</v>
      </c>
      <c r="F34" s="40">
        <v>38.446</v>
      </c>
      <c r="H34" s="20"/>
      <c r="I34" s="48">
        <v>1510.0</v>
      </c>
      <c r="K34" s="40">
        <f t="shared" si="2"/>
        <v>81.819</v>
      </c>
      <c r="M34" s="39">
        <v>70.0</v>
      </c>
      <c r="N34" s="40">
        <v>32.703</v>
      </c>
      <c r="P34" s="95">
        <v>515.0</v>
      </c>
      <c r="Q34" s="40">
        <f t="shared" si="3"/>
        <v>14.292</v>
      </c>
      <c r="U34" s="40">
        <v>500.0</v>
      </c>
      <c r="V34" s="40">
        <f t="shared" si="6"/>
        <v>74.08</v>
      </c>
    </row>
    <row r="35">
      <c r="A35" s="92" t="s">
        <v>479</v>
      </c>
      <c r="B35" s="92">
        <v>405.0</v>
      </c>
      <c r="C35" s="40">
        <f t="shared" si="4"/>
        <v>15241</v>
      </c>
      <c r="D35" s="40">
        <f t="shared" si="1"/>
        <v>15.241</v>
      </c>
      <c r="E35" s="39">
        <v>78.0</v>
      </c>
      <c r="F35" s="40">
        <v>37.751</v>
      </c>
      <c r="H35" s="20"/>
      <c r="I35" s="48">
        <v>1460.0</v>
      </c>
      <c r="K35" s="40">
        <f t="shared" si="2"/>
        <v>83.279</v>
      </c>
      <c r="M35" s="39">
        <v>69.0</v>
      </c>
      <c r="N35" s="40">
        <v>32.165</v>
      </c>
      <c r="P35" s="95">
        <v>389.0</v>
      </c>
      <c r="Q35" s="40">
        <f t="shared" si="3"/>
        <v>14.681</v>
      </c>
      <c r="U35" s="40">
        <v>7099.9999999999945</v>
      </c>
      <c r="V35" s="40">
        <f t="shared" si="6"/>
        <v>66.98</v>
      </c>
    </row>
    <row r="36">
      <c r="A36" s="92" t="s">
        <v>481</v>
      </c>
      <c r="B36" s="92">
        <v>666.0</v>
      </c>
      <c r="C36" s="40">
        <f t="shared" si="4"/>
        <v>15907</v>
      </c>
      <c r="D36" s="40">
        <f t="shared" si="1"/>
        <v>15.907</v>
      </c>
      <c r="E36" s="39">
        <v>77.0</v>
      </c>
      <c r="F36" s="40">
        <v>37.164</v>
      </c>
      <c r="H36" s="20"/>
      <c r="I36" s="48">
        <v>1020.0</v>
      </c>
      <c r="K36" s="40">
        <f t="shared" si="2"/>
        <v>84.299</v>
      </c>
      <c r="M36" s="39">
        <v>68.0</v>
      </c>
      <c r="N36" s="40">
        <v>31.594</v>
      </c>
      <c r="P36" s="95">
        <v>389.0</v>
      </c>
      <c r="Q36" s="40">
        <f t="shared" si="3"/>
        <v>15.07</v>
      </c>
      <c r="U36" s="40">
        <v>1200.0000000000027</v>
      </c>
      <c r="V36" s="40">
        <f t="shared" si="6"/>
        <v>65.78</v>
      </c>
    </row>
    <row r="37">
      <c r="A37" s="92" t="s">
        <v>483</v>
      </c>
      <c r="B37" s="92">
        <v>578.0</v>
      </c>
      <c r="C37" s="40">
        <f t="shared" si="4"/>
        <v>16485</v>
      </c>
      <c r="D37" s="40">
        <f t="shared" si="1"/>
        <v>16.485</v>
      </c>
      <c r="E37" s="39">
        <v>76.0</v>
      </c>
      <c r="F37" s="40">
        <v>36.551</v>
      </c>
      <c r="H37" s="20"/>
      <c r="I37" s="48">
        <v>1180.0</v>
      </c>
      <c r="K37" s="40">
        <f t="shared" si="2"/>
        <v>85.479</v>
      </c>
      <c r="M37" s="39">
        <v>67.0</v>
      </c>
      <c r="N37" s="40">
        <v>30.894</v>
      </c>
      <c r="P37" s="105">
        <v>590.0</v>
      </c>
      <c r="Q37" s="40">
        <f t="shared" si="3"/>
        <v>15.66</v>
      </c>
      <c r="U37" s="40">
        <v>1200.0000000000027</v>
      </c>
      <c r="V37" s="40">
        <f t="shared" si="6"/>
        <v>64.58</v>
      </c>
    </row>
    <row r="38">
      <c r="A38" s="92" t="s">
        <v>485</v>
      </c>
      <c r="B38" s="92">
        <v>659.0</v>
      </c>
      <c r="C38" s="40">
        <f t="shared" si="4"/>
        <v>17144</v>
      </c>
      <c r="D38" s="40">
        <f t="shared" si="1"/>
        <v>17.144</v>
      </c>
      <c r="E38" s="39">
        <v>75.0</v>
      </c>
      <c r="F38" s="40">
        <v>36.101</v>
      </c>
      <c r="H38" s="20"/>
      <c r="I38" s="48">
        <v>394.0</v>
      </c>
      <c r="K38" s="40">
        <f t="shared" si="2"/>
        <v>85.873</v>
      </c>
      <c r="M38" s="39">
        <v>66.0</v>
      </c>
      <c r="N38" s="40">
        <v>30.477</v>
      </c>
      <c r="P38" s="95">
        <v>566.0</v>
      </c>
      <c r="Q38" s="40">
        <f t="shared" si="3"/>
        <v>16.226</v>
      </c>
      <c r="U38" s="40">
        <v>399.9999999999915</v>
      </c>
      <c r="V38" s="40">
        <f t="shared" si="6"/>
        <v>64.18</v>
      </c>
    </row>
    <row r="39">
      <c r="A39" s="92" t="s">
        <v>487</v>
      </c>
      <c r="B39" s="19">
        <v>486.0</v>
      </c>
      <c r="C39" s="40">
        <f t="shared" si="4"/>
        <v>17630</v>
      </c>
      <c r="D39" s="40">
        <f t="shared" si="1"/>
        <v>17.63</v>
      </c>
      <c r="E39" s="39">
        <v>74.0</v>
      </c>
      <c r="F39" s="40">
        <v>35.671</v>
      </c>
      <c r="H39" s="20"/>
      <c r="I39" s="48">
        <v>2960.0</v>
      </c>
      <c r="K39" s="40">
        <f t="shared" si="2"/>
        <v>88.833</v>
      </c>
      <c r="M39" s="39">
        <v>65.0</v>
      </c>
      <c r="N39" s="40">
        <v>29.886</v>
      </c>
      <c r="P39" s="95">
        <v>463.0</v>
      </c>
      <c r="Q39" s="40">
        <f t="shared" si="3"/>
        <v>16.689</v>
      </c>
      <c r="U39" s="40">
        <v>600.0000000000085</v>
      </c>
      <c r="V39" s="40">
        <f t="shared" si="6"/>
        <v>63.58</v>
      </c>
    </row>
    <row r="40">
      <c r="A40" s="92" t="s">
        <v>489</v>
      </c>
      <c r="B40" s="92">
        <v>497.0</v>
      </c>
      <c r="C40" s="40">
        <f t="shared" si="4"/>
        <v>18127</v>
      </c>
      <c r="D40" s="40">
        <f t="shared" si="1"/>
        <v>18.127</v>
      </c>
      <c r="E40" s="39">
        <v>73.0</v>
      </c>
      <c r="F40" s="40">
        <v>35.271</v>
      </c>
      <c r="H40" s="20"/>
      <c r="I40" s="48">
        <v>1200.0</v>
      </c>
      <c r="K40" s="40">
        <f t="shared" si="2"/>
        <v>90.033</v>
      </c>
      <c r="M40" s="39">
        <v>64.0</v>
      </c>
      <c r="N40" s="40">
        <v>29.266</v>
      </c>
      <c r="P40" s="95">
        <v>481.0</v>
      </c>
      <c r="Q40" s="40">
        <f t="shared" si="3"/>
        <v>17.17</v>
      </c>
      <c r="U40" s="40">
        <v>5000.0</v>
      </c>
      <c r="V40" s="40">
        <f t="shared" si="6"/>
        <v>58.58</v>
      </c>
    </row>
    <row r="41">
      <c r="A41" s="92" t="s">
        <v>491</v>
      </c>
      <c r="B41" s="92">
        <v>351.0</v>
      </c>
      <c r="C41" s="40">
        <f t="shared" si="4"/>
        <v>18478</v>
      </c>
      <c r="D41" s="40">
        <f t="shared" si="1"/>
        <v>18.478</v>
      </c>
      <c r="E41" s="39">
        <v>72.0</v>
      </c>
      <c r="F41" s="40">
        <v>34.691</v>
      </c>
      <c r="H41" s="20"/>
      <c r="I41" s="48">
        <v>1580.0</v>
      </c>
      <c r="K41" s="40">
        <f t="shared" si="2"/>
        <v>91.613</v>
      </c>
      <c r="M41" s="39">
        <v>63.0</v>
      </c>
      <c r="N41" s="40">
        <v>28.387</v>
      </c>
      <c r="P41" s="95">
        <v>535.0</v>
      </c>
      <c r="Q41" s="40">
        <f t="shared" si="3"/>
        <v>17.705</v>
      </c>
      <c r="U41" s="40">
        <v>899.9999999999915</v>
      </c>
      <c r="V41" s="40">
        <f t="shared" si="6"/>
        <v>57.68</v>
      </c>
    </row>
    <row r="42">
      <c r="A42" s="92" t="s">
        <v>493</v>
      </c>
      <c r="B42" s="92">
        <v>505.0</v>
      </c>
      <c r="C42" s="40">
        <f t="shared" si="4"/>
        <v>18983</v>
      </c>
      <c r="D42" s="40">
        <f t="shared" si="1"/>
        <v>18.983</v>
      </c>
      <c r="E42" s="39">
        <v>71.0</v>
      </c>
      <c r="F42" s="40">
        <v>34.291</v>
      </c>
      <c r="H42" s="20"/>
      <c r="I42" s="48">
        <v>996.0</v>
      </c>
      <c r="K42" s="40">
        <f t="shared" si="2"/>
        <v>92.609</v>
      </c>
      <c r="M42" s="39">
        <v>62.0</v>
      </c>
      <c r="N42" s="40">
        <v>27.573</v>
      </c>
      <c r="P42" s="105">
        <v>421.0</v>
      </c>
      <c r="Q42" s="40">
        <f t="shared" si="3"/>
        <v>18.126</v>
      </c>
      <c r="U42" s="40">
        <v>200.00000000000284</v>
      </c>
      <c r="V42" s="40">
        <f t="shared" si="6"/>
        <v>57.48</v>
      </c>
    </row>
    <row r="43">
      <c r="A43" s="92" t="s">
        <v>496</v>
      </c>
      <c r="B43" s="92">
        <f>452+23</f>
        <v>475</v>
      </c>
      <c r="C43" s="40">
        <f t="shared" si="4"/>
        <v>19458</v>
      </c>
      <c r="D43" s="40">
        <f t="shared" si="1"/>
        <v>19.458</v>
      </c>
      <c r="E43" s="39">
        <v>70.0</v>
      </c>
      <c r="F43" s="40">
        <v>33.931</v>
      </c>
      <c r="H43" s="20"/>
      <c r="I43" s="48">
        <v>1480.0</v>
      </c>
      <c r="K43" s="40">
        <f t="shared" si="2"/>
        <v>94.089</v>
      </c>
      <c r="M43" s="39">
        <v>61.0</v>
      </c>
      <c r="N43" s="40">
        <v>27.237</v>
      </c>
      <c r="P43" s="95">
        <v>349.0</v>
      </c>
      <c r="Q43" s="40">
        <f t="shared" si="3"/>
        <v>18.475</v>
      </c>
      <c r="U43" s="40">
        <v>1500.0</v>
      </c>
      <c r="V43" s="40">
        <f t="shared" si="6"/>
        <v>55.98</v>
      </c>
    </row>
    <row r="44">
      <c r="A44" s="92" t="s">
        <v>498</v>
      </c>
      <c r="B44" s="92">
        <f>335+15</f>
        <v>350</v>
      </c>
      <c r="C44" s="40">
        <f t="shared" si="4"/>
        <v>19808</v>
      </c>
      <c r="D44" s="40">
        <f t="shared" si="1"/>
        <v>19.808</v>
      </c>
      <c r="E44" s="39">
        <v>69.0</v>
      </c>
      <c r="F44" s="40">
        <v>33.318</v>
      </c>
      <c r="H44" s="20"/>
      <c r="I44" s="48">
        <v>1130.0</v>
      </c>
      <c r="K44" s="40">
        <f t="shared" si="2"/>
        <v>95.219</v>
      </c>
      <c r="M44" s="39">
        <v>60.0</v>
      </c>
      <c r="N44" s="40">
        <v>26.819</v>
      </c>
      <c r="P44" s="95">
        <v>424.0</v>
      </c>
      <c r="Q44" s="40">
        <f t="shared" si="3"/>
        <v>18.899</v>
      </c>
      <c r="U44" s="40">
        <v>1299.9999999999973</v>
      </c>
      <c r="V44" s="40">
        <f t="shared" si="6"/>
        <v>54.68</v>
      </c>
    </row>
    <row r="45">
      <c r="A45" s="92" t="s">
        <v>501</v>
      </c>
      <c r="B45" s="19">
        <v>536.0</v>
      </c>
      <c r="C45" s="40">
        <f t="shared" si="4"/>
        <v>20344</v>
      </c>
      <c r="D45" s="40">
        <f t="shared" si="1"/>
        <v>20.344</v>
      </c>
      <c r="E45" s="39">
        <v>68.0</v>
      </c>
      <c r="F45" s="40">
        <v>32.709</v>
      </c>
      <c r="H45" s="20"/>
      <c r="I45" s="48">
        <v>404.0</v>
      </c>
      <c r="K45" s="40">
        <f t="shared" si="2"/>
        <v>95.623</v>
      </c>
      <c r="M45" s="39">
        <v>59.0</v>
      </c>
      <c r="N45" s="40">
        <v>26.235</v>
      </c>
      <c r="P45" s="105">
        <v>633.0</v>
      </c>
      <c r="Q45" s="40">
        <f t="shared" si="3"/>
        <v>19.532</v>
      </c>
      <c r="U45" s="40">
        <v>299.99999999999716</v>
      </c>
      <c r="V45" s="40">
        <f t="shared" si="6"/>
        <v>54.38</v>
      </c>
    </row>
    <row r="46">
      <c r="A46" s="92" t="s">
        <v>504</v>
      </c>
      <c r="B46" s="92">
        <v>520.0</v>
      </c>
      <c r="C46" s="40">
        <f t="shared" si="4"/>
        <v>20864</v>
      </c>
      <c r="D46" s="40">
        <f t="shared" si="1"/>
        <v>20.864</v>
      </c>
      <c r="E46" s="39">
        <v>67.0</v>
      </c>
      <c r="F46" s="40">
        <v>32.19</v>
      </c>
      <c r="H46" s="20"/>
      <c r="I46" s="48">
        <v>737.0</v>
      </c>
      <c r="K46" s="40">
        <f t="shared" si="2"/>
        <v>96.36</v>
      </c>
      <c r="M46" s="39">
        <v>58.0</v>
      </c>
      <c r="N46" s="40">
        <v>25.832</v>
      </c>
      <c r="P46" s="95">
        <v>390.0</v>
      </c>
      <c r="Q46" s="40">
        <f t="shared" si="3"/>
        <v>19.922</v>
      </c>
      <c r="U46" s="40">
        <v>1000.0</v>
      </c>
      <c r="V46" s="40">
        <f t="shared" si="6"/>
        <v>53.38</v>
      </c>
    </row>
    <row r="47">
      <c r="A47" s="92" t="s">
        <v>506</v>
      </c>
      <c r="B47" s="92">
        <f>460+449</f>
        <v>909</v>
      </c>
      <c r="C47" s="40">
        <f t="shared" si="4"/>
        <v>21773</v>
      </c>
      <c r="D47" s="40">
        <f t="shared" si="1"/>
        <v>21.773</v>
      </c>
      <c r="E47" s="39">
        <v>66.0</v>
      </c>
      <c r="F47" s="40">
        <v>31.757</v>
      </c>
      <c r="H47" s="20"/>
      <c r="I47" s="48">
        <v>1580.0</v>
      </c>
      <c r="K47" s="40">
        <f t="shared" si="2"/>
        <v>97.94</v>
      </c>
      <c r="M47" s="39">
        <v>57.0</v>
      </c>
      <c r="N47" s="40">
        <v>25.463</v>
      </c>
      <c r="P47" s="95">
        <v>430.0</v>
      </c>
      <c r="Q47" s="40">
        <f t="shared" si="3"/>
        <v>20.352</v>
      </c>
      <c r="U47" s="40">
        <v>900.0000000000057</v>
      </c>
      <c r="V47" s="40">
        <f t="shared" si="6"/>
        <v>52.48</v>
      </c>
    </row>
    <row r="48">
      <c r="A48" s="92" t="s">
        <v>509</v>
      </c>
      <c r="B48" s="92">
        <v>511.0</v>
      </c>
      <c r="C48" s="40">
        <f t="shared" si="4"/>
        <v>22284</v>
      </c>
      <c r="D48" s="40">
        <f t="shared" si="1"/>
        <v>22.284</v>
      </c>
      <c r="E48" s="39">
        <v>65.0</v>
      </c>
      <c r="F48" s="40">
        <v>31.354</v>
      </c>
      <c r="H48" s="20"/>
      <c r="I48" s="48">
        <v>1940.0</v>
      </c>
      <c r="K48" s="40">
        <f t="shared" si="2"/>
        <v>99.88</v>
      </c>
      <c r="M48" s="39">
        <v>56.0</v>
      </c>
      <c r="N48" s="40">
        <v>25.108</v>
      </c>
      <c r="P48" s="95">
        <v>402.0</v>
      </c>
      <c r="Q48" s="40">
        <f t="shared" si="3"/>
        <v>20.754</v>
      </c>
      <c r="U48" s="40">
        <v>1000.0</v>
      </c>
      <c r="V48" s="40">
        <f t="shared" si="6"/>
        <v>51.48</v>
      </c>
    </row>
    <row r="49">
      <c r="A49" s="92" t="s">
        <v>511</v>
      </c>
      <c r="B49" s="19">
        <v>492.0</v>
      </c>
      <c r="C49" s="40">
        <f t="shared" si="4"/>
        <v>22776</v>
      </c>
      <c r="D49" s="40">
        <f t="shared" si="1"/>
        <v>22.776</v>
      </c>
      <c r="E49" s="39">
        <v>64.0</v>
      </c>
      <c r="F49" s="40">
        <v>30.957</v>
      </c>
      <c r="H49" s="20"/>
      <c r="I49" s="48">
        <v>1150.0</v>
      </c>
      <c r="K49" s="40">
        <f t="shared" si="2"/>
        <v>101.03</v>
      </c>
      <c r="M49" s="39">
        <v>55.0</v>
      </c>
      <c r="N49" s="40">
        <v>24.728</v>
      </c>
      <c r="P49" s="95">
        <v>425.0</v>
      </c>
      <c r="Q49" s="40">
        <f t="shared" si="3"/>
        <v>21.179</v>
      </c>
      <c r="U49" s="40">
        <v>599.9999999999943</v>
      </c>
      <c r="V49" s="40">
        <f t="shared" si="6"/>
        <v>50.88</v>
      </c>
    </row>
    <row r="50">
      <c r="A50" s="92" t="s">
        <v>514</v>
      </c>
      <c r="B50" s="92">
        <v>513.0</v>
      </c>
      <c r="C50" s="40">
        <f t="shared" si="4"/>
        <v>23289</v>
      </c>
      <c r="D50" s="40">
        <f t="shared" si="1"/>
        <v>23.289</v>
      </c>
      <c r="E50" s="39">
        <v>63.0</v>
      </c>
      <c r="F50" s="40">
        <v>30.557</v>
      </c>
      <c r="H50" s="20"/>
      <c r="I50" s="22">
        <v>1650.0</v>
      </c>
      <c r="K50" s="40">
        <f t="shared" si="2"/>
        <v>102.68</v>
      </c>
      <c r="M50" s="39">
        <v>54.0</v>
      </c>
      <c r="N50" s="40">
        <v>24.337</v>
      </c>
      <c r="P50" s="95">
        <v>453.0</v>
      </c>
      <c r="Q50" s="40">
        <f t="shared" si="3"/>
        <v>21.632</v>
      </c>
    </row>
    <row r="51">
      <c r="A51" s="92" t="s">
        <v>516</v>
      </c>
      <c r="B51" s="92">
        <v>527.0</v>
      </c>
      <c r="C51" s="40">
        <f t="shared" si="4"/>
        <v>23816</v>
      </c>
      <c r="D51" s="40">
        <f t="shared" si="1"/>
        <v>23.816</v>
      </c>
      <c r="E51" s="39">
        <v>62.0</v>
      </c>
      <c r="F51" s="40">
        <v>30.159</v>
      </c>
      <c r="H51" s="20"/>
      <c r="I51" s="22">
        <v>993.0</v>
      </c>
      <c r="K51" s="40">
        <f t="shared" si="2"/>
        <v>103.673</v>
      </c>
      <c r="M51" s="39">
        <v>53.0</v>
      </c>
      <c r="N51" s="40">
        <v>23.904</v>
      </c>
      <c r="P51" s="95">
        <v>396.0</v>
      </c>
      <c r="Q51" s="40">
        <f t="shared" si="3"/>
        <v>22.028</v>
      </c>
    </row>
    <row r="52">
      <c r="A52" s="92" t="s">
        <v>518</v>
      </c>
      <c r="B52" s="92">
        <v>462.0</v>
      </c>
      <c r="C52" s="40">
        <f t="shared" si="4"/>
        <v>24278</v>
      </c>
      <c r="D52" s="40">
        <f t="shared" si="1"/>
        <v>24.278</v>
      </c>
      <c r="E52" s="39">
        <v>61.0</v>
      </c>
      <c r="F52" s="40">
        <v>29.377</v>
      </c>
      <c r="H52" s="20"/>
      <c r="I52" s="22">
        <v>1330.0</v>
      </c>
      <c r="K52" s="40">
        <f t="shared" si="2"/>
        <v>105.003</v>
      </c>
      <c r="M52" s="39">
        <v>52.0</v>
      </c>
      <c r="N52" s="40">
        <v>23.37</v>
      </c>
      <c r="P52" s="95">
        <v>437.0</v>
      </c>
      <c r="Q52" s="40">
        <f t="shared" si="3"/>
        <v>22.465</v>
      </c>
    </row>
    <row r="53">
      <c r="A53" s="92" t="s">
        <v>520</v>
      </c>
      <c r="B53" s="92">
        <v>654.0</v>
      </c>
      <c r="C53" s="40">
        <f t="shared" si="4"/>
        <v>24932</v>
      </c>
      <c r="D53" s="40">
        <f t="shared" si="1"/>
        <v>24.932</v>
      </c>
      <c r="E53" s="39">
        <v>60.0</v>
      </c>
      <c r="F53" s="40">
        <v>28.831</v>
      </c>
      <c r="H53" s="20"/>
      <c r="I53" s="22">
        <v>1080.0</v>
      </c>
      <c r="K53" s="40">
        <f t="shared" si="2"/>
        <v>106.083</v>
      </c>
      <c r="M53" s="39">
        <v>51.0</v>
      </c>
      <c r="N53" s="40">
        <v>22.89</v>
      </c>
      <c r="P53" s="105">
        <v>694.0</v>
      </c>
      <c r="Q53" s="40">
        <f t="shared" si="3"/>
        <v>23.159</v>
      </c>
    </row>
    <row r="54">
      <c r="A54" s="92" t="s">
        <v>522</v>
      </c>
      <c r="B54" s="92">
        <v>412.0</v>
      </c>
      <c r="C54" s="40">
        <f t="shared" si="4"/>
        <v>25344</v>
      </c>
      <c r="D54" s="40">
        <f t="shared" si="1"/>
        <v>25.344</v>
      </c>
      <c r="E54" s="39">
        <v>59.0</v>
      </c>
      <c r="F54" s="40">
        <v>28.168</v>
      </c>
      <c r="H54" s="20"/>
      <c r="I54" s="22">
        <v>1240.0</v>
      </c>
      <c r="K54" s="40">
        <f t="shared" si="2"/>
        <v>107.323</v>
      </c>
      <c r="M54" s="39">
        <v>50.0</v>
      </c>
      <c r="N54" s="40">
        <v>22.407</v>
      </c>
      <c r="P54" s="95">
        <v>649.0</v>
      </c>
      <c r="Q54" s="40">
        <f t="shared" si="3"/>
        <v>23.808</v>
      </c>
    </row>
    <row r="55">
      <c r="A55" s="92" t="s">
        <v>524</v>
      </c>
      <c r="B55" s="92">
        <v>366.0</v>
      </c>
      <c r="C55" s="40">
        <f t="shared" si="4"/>
        <v>25710</v>
      </c>
      <c r="D55" s="40">
        <f t="shared" si="1"/>
        <v>25.71</v>
      </c>
      <c r="E55" s="39">
        <v>58.0</v>
      </c>
      <c r="F55" s="40">
        <v>27.562</v>
      </c>
      <c r="H55" s="20"/>
      <c r="I55" s="22">
        <v>467.0</v>
      </c>
      <c r="K55" s="40">
        <f t="shared" si="2"/>
        <v>107.79</v>
      </c>
      <c r="M55" s="39">
        <v>49.0</v>
      </c>
      <c r="N55" s="40">
        <v>21.857</v>
      </c>
      <c r="P55" s="95">
        <v>641.0</v>
      </c>
      <c r="Q55" s="40">
        <f t="shared" si="3"/>
        <v>24.449</v>
      </c>
    </row>
    <row r="56">
      <c r="A56" s="92" t="s">
        <v>526</v>
      </c>
      <c r="B56" s="19">
        <v>686.0</v>
      </c>
      <c r="C56" s="40">
        <f t="shared" si="4"/>
        <v>26396</v>
      </c>
      <c r="D56" s="40">
        <f t="shared" si="1"/>
        <v>26.396</v>
      </c>
      <c r="E56" s="39">
        <v>57.0</v>
      </c>
      <c r="F56" s="40">
        <v>27.146</v>
      </c>
      <c r="H56" s="20"/>
      <c r="I56" s="22">
        <v>1160.0</v>
      </c>
      <c r="K56" s="40">
        <f t="shared" si="2"/>
        <v>108.95</v>
      </c>
      <c r="M56" s="39">
        <v>48.0</v>
      </c>
      <c r="N56" s="40">
        <v>21.392</v>
      </c>
      <c r="P56" s="105">
        <v>548.0</v>
      </c>
      <c r="Q56" s="40">
        <f t="shared" si="3"/>
        <v>24.997</v>
      </c>
    </row>
    <row r="57">
      <c r="A57" s="92" t="s">
        <v>528</v>
      </c>
      <c r="B57" s="92">
        <v>360.0</v>
      </c>
      <c r="C57" s="40">
        <f t="shared" si="4"/>
        <v>26756</v>
      </c>
      <c r="D57" s="40">
        <f t="shared" si="1"/>
        <v>26.756</v>
      </c>
      <c r="E57" s="39">
        <v>56.0</v>
      </c>
      <c r="F57" s="40">
        <v>26.756</v>
      </c>
      <c r="H57" s="20"/>
      <c r="I57" s="22">
        <v>1010.0</v>
      </c>
      <c r="K57" s="40">
        <f t="shared" si="2"/>
        <v>109.96</v>
      </c>
      <c r="M57" s="39">
        <v>47.0</v>
      </c>
      <c r="N57" s="40">
        <v>20.991</v>
      </c>
      <c r="P57" s="95">
        <v>491.0</v>
      </c>
      <c r="Q57" s="40">
        <f t="shared" si="3"/>
        <v>25.488</v>
      </c>
    </row>
    <row r="58">
      <c r="A58" s="92" t="s">
        <v>530</v>
      </c>
      <c r="B58" s="92">
        <v>390.0</v>
      </c>
      <c r="C58" s="40">
        <f t="shared" si="4"/>
        <v>27146</v>
      </c>
      <c r="D58" s="40">
        <f t="shared" si="1"/>
        <v>27.146</v>
      </c>
      <c r="E58" s="39">
        <v>55.0</v>
      </c>
      <c r="F58" s="40">
        <v>26.396</v>
      </c>
      <c r="H58" s="20"/>
      <c r="I58" s="22">
        <v>2190.0</v>
      </c>
      <c r="K58" s="40">
        <f t="shared" si="2"/>
        <v>112.15</v>
      </c>
      <c r="M58" s="39">
        <v>46.0</v>
      </c>
      <c r="N58" s="40">
        <v>20.591</v>
      </c>
      <c r="P58" s="95">
        <v>557.0</v>
      </c>
      <c r="Q58" s="40">
        <f t="shared" si="3"/>
        <v>26.045</v>
      </c>
    </row>
    <row r="59">
      <c r="A59" s="92" t="s">
        <v>532</v>
      </c>
      <c r="B59" s="92">
        <v>416.0</v>
      </c>
      <c r="C59" s="40">
        <f t="shared" si="4"/>
        <v>27562</v>
      </c>
      <c r="D59" s="40">
        <f t="shared" si="1"/>
        <v>27.562</v>
      </c>
      <c r="E59" s="39">
        <v>54.0</v>
      </c>
      <c r="F59" s="40">
        <v>25.71</v>
      </c>
      <c r="H59" s="20"/>
      <c r="I59" s="22">
        <v>1080.0</v>
      </c>
      <c r="K59" s="40">
        <f t="shared" si="2"/>
        <v>113.23</v>
      </c>
      <c r="M59" s="39">
        <v>45.0</v>
      </c>
      <c r="N59" s="40">
        <v>20.189</v>
      </c>
      <c r="P59" s="95">
        <v>433.0</v>
      </c>
      <c r="Q59" s="40">
        <f t="shared" si="3"/>
        <v>26.478</v>
      </c>
    </row>
    <row r="60">
      <c r="A60" s="92" t="s">
        <v>534</v>
      </c>
      <c r="B60" s="92">
        <v>606.0</v>
      </c>
      <c r="C60" s="40">
        <f t="shared" si="4"/>
        <v>28168</v>
      </c>
      <c r="D60" s="40">
        <f t="shared" si="1"/>
        <v>28.168</v>
      </c>
      <c r="E60" s="39">
        <v>53.0</v>
      </c>
      <c r="F60" s="40">
        <v>25.344</v>
      </c>
      <c r="H60" s="20"/>
      <c r="I60" s="22">
        <v>2550.0</v>
      </c>
      <c r="K60" s="40">
        <f t="shared" si="2"/>
        <v>115.78</v>
      </c>
      <c r="M60" s="39">
        <v>44.0</v>
      </c>
      <c r="N60" s="40">
        <v>19.799</v>
      </c>
      <c r="P60" s="105">
        <v>419.0</v>
      </c>
      <c r="Q60" s="40">
        <f t="shared" si="3"/>
        <v>26.897</v>
      </c>
    </row>
    <row r="61">
      <c r="A61" s="92" t="s">
        <v>536</v>
      </c>
      <c r="B61" s="92">
        <v>663.0</v>
      </c>
      <c r="C61" s="40">
        <f t="shared" si="4"/>
        <v>28831</v>
      </c>
      <c r="D61" s="40">
        <f t="shared" si="1"/>
        <v>28.831</v>
      </c>
      <c r="E61" s="39">
        <v>52.0</v>
      </c>
      <c r="F61" s="40">
        <v>24.932</v>
      </c>
      <c r="H61" s="20"/>
      <c r="I61" s="22">
        <v>1110.0</v>
      </c>
      <c r="K61" s="40">
        <f t="shared" si="2"/>
        <v>116.89</v>
      </c>
      <c r="M61" s="39">
        <v>43.0</v>
      </c>
      <c r="N61" s="40">
        <v>19.012</v>
      </c>
      <c r="P61" s="95">
        <v>436.0</v>
      </c>
      <c r="Q61" s="40">
        <f t="shared" si="3"/>
        <v>27.333</v>
      </c>
    </row>
    <row r="62">
      <c r="A62" s="92" t="s">
        <v>538</v>
      </c>
      <c r="B62" s="92">
        <v>546.0</v>
      </c>
      <c r="C62" s="40">
        <f t="shared" si="4"/>
        <v>29377</v>
      </c>
      <c r="D62" s="40">
        <f t="shared" si="1"/>
        <v>29.377</v>
      </c>
      <c r="E62" s="39">
        <v>51.0</v>
      </c>
      <c r="F62" s="40">
        <v>24.278</v>
      </c>
      <c r="H62" s="20"/>
      <c r="I62" s="22">
        <v>1210.0</v>
      </c>
      <c r="K62" s="40">
        <f t="shared" si="2"/>
        <v>118.1</v>
      </c>
      <c r="M62" s="39">
        <v>42.0</v>
      </c>
      <c r="N62" s="40">
        <v>18.629</v>
      </c>
      <c r="P62" s="95">
        <v>384.0</v>
      </c>
      <c r="Q62" s="40">
        <f t="shared" si="3"/>
        <v>27.717</v>
      </c>
    </row>
    <row r="63">
      <c r="A63" s="92" t="s">
        <v>540</v>
      </c>
      <c r="B63" s="19">
        <v>782.0</v>
      </c>
      <c r="C63" s="40">
        <f t="shared" si="4"/>
        <v>30159</v>
      </c>
      <c r="D63" s="40">
        <f t="shared" si="1"/>
        <v>30.159</v>
      </c>
      <c r="E63" s="39">
        <v>50.0</v>
      </c>
      <c r="F63" s="40">
        <v>23.816</v>
      </c>
      <c r="H63" s="20"/>
      <c r="I63" s="22">
        <v>996.0</v>
      </c>
      <c r="K63" s="40">
        <f t="shared" si="2"/>
        <v>119.096</v>
      </c>
      <c r="M63" s="39">
        <v>41.0</v>
      </c>
      <c r="N63" s="40">
        <v>18.177</v>
      </c>
      <c r="P63" s="95">
        <v>394.0</v>
      </c>
      <c r="Q63" s="40">
        <f t="shared" si="3"/>
        <v>28.111</v>
      </c>
    </row>
    <row r="64">
      <c r="A64" s="92" t="s">
        <v>542</v>
      </c>
      <c r="B64" s="92">
        <v>398.0</v>
      </c>
      <c r="C64" s="40">
        <f t="shared" si="4"/>
        <v>30557</v>
      </c>
      <c r="D64" s="40">
        <f t="shared" si="1"/>
        <v>30.557</v>
      </c>
      <c r="E64" s="39">
        <v>49.0</v>
      </c>
      <c r="F64" s="40">
        <v>23.289</v>
      </c>
      <c r="H64" s="20"/>
      <c r="I64" s="22">
        <v>1570.0</v>
      </c>
      <c r="K64" s="40">
        <f t="shared" si="2"/>
        <v>120.666</v>
      </c>
      <c r="M64" s="39">
        <v>40.0</v>
      </c>
      <c r="N64" s="40">
        <v>17.668</v>
      </c>
      <c r="P64" s="105">
        <v>489.0</v>
      </c>
      <c r="Q64" s="40">
        <f t="shared" si="3"/>
        <v>28.6</v>
      </c>
    </row>
    <row r="65">
      <c r="A65" s="92" t="s">
        <v>544</v>
      </c>
      <c r="B65" s="92">
        <v>400.0</v>
      </c>
      <c r="C65" s="40">
        <f t="shared" si="4"/>
        <v>30957</v>
      </c>
      <c r="D65" s="40">
        <f t="shared" si="1"/>
        <v>30.957</v>
      </c>
      <c r="E65" s="39">
        <v>48.0</v>
      </c>
      <c r="F65" s="40">
        <v>22.776</v>
      </c>
      <c r="H65" s="20"/>
      <c r="M65" s="39">
        <v>39.0</v>
      </c>
      <c r="N65" s="40">
        <v>17.214</v>
      </c>
      <c r="P65" s="95">
        <v>411.0</v>
      </c>
      <c r="Q65" s="40">
        <f t="shared" si="3"/>
        <v>29.011</v>
      </c>
    </row>
    <row r="66">
      <c r="A66" s="92" t="s">
        <v>4124</v>
      </c>
      <c r="B66" s="92">
        <v>397.0</v>
      </c>
      <c r="C66" s="40">
        <f t="shared" si="4"/>
        <v>31354</v>
      </c>
      <c r="D66" s="40">
        <f t="shared" si="1"/>
        <v>31.354</v>
      </c>
      <c r="E66" s="39">
        <v>47.0</v>
      </c>
      <c r="F66" s="40">
        <v>22.284</v>
      </c>
      <c r="H66" s="20"/>
      <c r="I66" s="102"/>
      <c r="M66" s="39">
        <v>38.0</v>
      </c>
      <c r="N66" s="40">
        <v>16.761</v>
      </c>
      <c r="P66" s="95">
        <v>410.0</v>
      </c>
      <c r="Q66" s="40">
        <f t="shared" si="3"/>
        <v>29.421</v>
      </c>
    </row>
    <row r="67">
      <c r="A67" s="92" t="s">
        <v>548</v>
      </c>
      <c r="B67" s="92">
        <v>403.0</v>
      </c>
      <c r="C67" s="40">
        <f t="shared" si="4"/>
        <v>31757</v>
      </c>
      <c r="D67" s="40">
        <f t="shared" si="1"/>
        <v>31.757</v>
      </c>
      <c r="E67" s="39">
        <v>46.0</v>
      </c>
      <c r="F67" s="40">
        <v>21.773</v>
      </c>
      <c r="H67" s="20"/>
      <c r="I67" s="102"/>
      <c r="M67" s="39">
        <v>37.0</v>
      </c>
      <c r="N67" s="40">
        <v>16.343</v>
      </c>
      <c r="P67" s="95">
        <v>472.0</v>
      </c>
      <c r="Q67" s="40">
        <f t="shared" si="3"/>
        <v>29.893</v>
      </c>
    </row>
    <row r="68">
      <c r="A68" s="92" t="s">
        <v>550</v>
      </c>
      <c r="B68" s="92">
        <v>433.0</v>
      </c>
      <c r="C68" s="40">
        <f t="shared" si="4"/>
        <v>32190</v>
      </c>
      <c r="D68" s="40">
        <f t="shared" si="1"/>
        <v>32.19</v>
      </c>
      <c r="E68" s="39">
        <v>45.0</v>
      </c>
      <c r="F68" s="40">
        <v>20.864</v>
      </c>
      <c r="H68" s="20"/>
      <c r="I68" s="19"/>
      <c r="M68" s="39">
        <v>36.0</v>
      </c>
      <c r="N68" s="40">
        <v>15.954</v>
      </c>
      <c r="P68" s="95">
        <v>400.0</v>
      </c>
      <c r="Q68" s="40">
        <f t="shared" si="3"/>
        <v>30.293</v>
      </c>
    </row>
    <row r="69">
      <c r="A69" s="92" t="s">
        <v>552</v>
      </c>
      <c r="B69" s="92">
        <v>519.0</v>
      </c>
      <c r="C69" s="40">
        <f t="shared" si="4"/>
        <v>32709</v>
      </c>
      <c r="D69" s="40">
        <f t="shared" si="1"/>
        <v>32.709</v>
      </c>
      <c r="E69" s="39">
        <v>44.0</v>
      </c>
      <c r="F69" s="40">
        <v>20.344</v>
      </c>
      <c r="H69" s="20"/>
      <c r="I69" s="19"/>
      <c r="M69" s="39">
        <v>35.0</v>
      </c>
      <c r="N69" s="40">
        <v>15.525</v>
      </c>
      <c r="P69" s="105">
        <v>469.0</v>
      </c>
      <c r="Q69" s="40">
        <f t="shared" si="3"/>
        <v>30.762</v>
      </c>
    </row>
    <row r="70">
      <c r="A70" s="92" t="s">
        <v>554</v>
      </c>
      <c r="B70" s="92">
        <v>609.0</v>
      </c>
      <c r="C70" s="40">
        <f t="shared" si="4"/>
        <v>33318</v>
      </c>
      <c r="D70" s="40">
        <f t="shared" si="1"/>
        <v>33.318</v>
      </c>
      <c r="E70" s="39">
        <v>43.0</v>
      </c>
      <c r="F70" s="40">
        <v>19.808</v>
      </c>
      <c r="H70" s="20"/>
      <c r="I70" s="19"/>
      <c r="M70" s="39">
        <v>34.0</v>
      </c>
      <c r="N70" s="40">
        <v>15.153</v>
      </c>
      <c r="P70" s="95">
        <v>460.0</v>
      </c>
      <c r="Q70" s="40">
        <f t="shared" si="3"/>
        <v>31.222</v>
      </c>
    </row>
    <row r="71">
      <c r="A71" s="92" t="s">
        <v>556</v>
      </c>
      <c r="B71" s="19">
        <v>613.0</v>
      </c>
      <c r="C71" s="40">
        <f t="shared" si="4"/>
        <v>33931</v>
      </c>
      <c r="D71" s="40">
        <f t="shared" si="1"/>
        <v>33.931</v>
      </c>
      <c r="E71" s="39">
        <v>42.0</v>
      </c>
      <c r="F71" s="40">
        <v>19.458</v>
      </c>
      <c r="H71" s="20"/>
      <c r="I71" s="19"/>
      <c r="M71" s="39">
        <v>33.0</v>
      </c>
      <c r="N71" s="40">
        <v>14.738</v>
      </c>
      <c r="P71" s="95">
        <v>370.0</v>
      </c>
      <c r="Q71" s="40">
        <f t="shared" si="3"/>
        <v>31.592</v>
      </c>
    </row>
    <row r="72">
      <c r="A72" s="92" t="s">
        <v>558</v>
      </c>
      <c r="B72" s="92">
        <v>360.0</v>
      </c>
      <c r="C72" s="40">
        <f t="shared" si="4"/>
        <v>34291</v>
      </c>
      <c r="D72" s="40">
        <f t="shared" si="1"/>
        <v>34.291</v>
      </c>
      <c r="E72" s="39">
        <v>41.0</v>
      </c>
      <c r="F72" s="40">
        <v>18.983</v>
      </c>
      <c r="H72" s="20"/>
      <c r="I72" s="19"/>
      <c r="M72" s="39">
        <v>32.0</v>
      </c>
      <c r="N72" s="40">
        <v>14.259</v>
      </c>
      <c r="P72" s="95">
        <v>407.0</v>
      </c>
      <c r="Q72" s="40">
        <f t="shared" si="3"/>
        <v>31.999</v>
      </c>
    </row>
    <row r="73">
      <c r="A73" s="92" t="s">
        <v>563</v>
      </c>
      <c r="B73" s="92">
        <v>400.0</v>
      </c>
      <c r="C73" s="40">
        <f t="shared" si="4"/>
        <v>34691</v>
      </c>
      <c r="D73" s="40">
        <f t="shared" si="1"/>
        <v>34.691</v>
      </c>
      <c r="E73" s="39">
        <v>40.0</v>
      </c>
      <c r="F73" s="40">
        <v>18.478</v>
      </c>
      <c r="H73" s="20"/>
      <c r="I73" s="19"/>
      <c r="M73" s="39">
        <v>31.0</v>
      </c>
      <c r="N73" s="40">
        <v>13.317</v>
      </c>
      <c r="P73" s="95">
        <v>634.0</v>
      </c>
      <c r="Q73" s="40">
        <f t="shared" si="3"/>
        <v>32.633</v>
      </c>
    </row>
    <row r="74">
      <c r="A74" s="92" t="s">
        <v>565</v>
      </c>
      <c r="B74" s="92">
        <v>580.0</v>
      </c>
      <c r="C74" s="40">
        <f t="shared" si="4"/>
        <v>35271</v>
      </c>
      <c r="D74" s="40">
        <f t="shared" si="1"/>
        <v>35.271</v>
      </c>
      <c r="E74" s="39">
        <v>39.0</v>
      </c>
      <c r="F74" s="40">
        <v>18.127</v>
      </c>
      <c r="H74" s="20"/>
      <c r="K74" s="40">
        <f>$H$2+SUM($I$2:I73)/1000</f>
        <v>120.666</v>
      </c>
      <c r="M74" s="39">
        <v>30.0</v>
      </c>
      <c r="N74" s="40">
        <v>12.898</v>
      </c>
      <c r="P74" s="95">
        <v>444.0</v>
      </c>
      <c r="Q74" s="40">
        <f t="shared" si="3"/>
        <v>33.077</v>
      </c>
    </row>
    <row r="75">
      <c r="A75" s="92" t="s">
        <v>567</v>
      </c>
      <c r="B75" s="92">
        <v>400.0</v>
      </c>
      <c r="C75" s="40">
        <f t="shared" si="4"/>
        <v>35671</v>
      </c>
      <c r="D75" s="40">
        <f t="shared" si="1"/>
        <v>35.671</v>
      </c>
      <c r="E75" s="39">
        <v>38.0</v>
      </c>
      <c r="F75" s="40">
        <v>17.63</v>
      </c>
      <c r="H75" s="20"/>
      <c r="M75" s="39">
        <v>29.0</v>
      </c>
      <c r="N75" s="40">
        <v>12.427</v>
      </c>
      <c r="P75" s="105">
        <v>410.0</v>
      </c>
      <c r="Q75" s="40">
        <f t="shared" si="3"/>
        <v>33.487</v>
      </c>
    </row>
    <row r="76">
      <c r="A76" s="92" t="s">
        <v>569</v>
      </c>
      <c r="B76" s="92">
        <v>430.0</v>
      </c>
      <c r="C76" s="40">
        <f t="shared" si="4"/>
        <v>36101</v>
      </c>
      <c r="D76" s="40">
        <f t="shared" si="1"/>
        <v>36.101</v>
      </c>
      <c r="E76" s="39">
        <v>37.0</v>
      </c>
      <c r="F76" s="40">
        <v>17.144</v>
      </c>
      <c r="H76" s="20"/>
      <c r="I76" s="19"/>
      <c r="K76" s="40">
        <f t="shared" ref="K76:K114" si="7">$H$2-SUM($I$2:I76)/1000</f>
        <v>-14.246</v>
      </c>
      <c r="M76" s="39">
        <v>28.0</v>
      </c>
      <c r="N76" s="40">
        <v>11.627</v>
      </c>
      <c r="P76" s="95">
        <v>408.0</v>
      </c>
      <c r="Q76" s="40">
        <f t="shared" si="3"/>
        <v>33.895</v>
      </c>
    </row>
    <row r="77">
      <c r="A77" s="92" t="s">
        <v>4125</v>
      </c>
      <c r="B77" s="92">
        <v>450.0</v>
      </c>
      <c r="C77" s="40">
        <f t="shared" si="4"/>
        <v>36551</v>
      </c>
      <c r="D77" s="40">
        <f t="shared" si="1"/>
        <v>36.551</v>
      </c>
      <c r="E77" s="39">
        <v>36.0</v>
      </c>
      <c r="F77" s="40">
        <v>16.485</v>
      </c>
      <c r="H77" s="20"/>
      <c r="I77" s="19"/>
      <c r="K77" s="40">
        <f t="shared" si="7"/>
        <v>-14.246</v>
      </c>
      <c r="M77" s="39">
        <v>27.0</v>
      </c>
      <c r="N77" s="40">
        <v>11.194</v>
      </c>
      <c r="P77" s="95">
        <v>481.0</v>
      </c>
      <c r="Q77" s="40">
        <f t="shared" si="3"/>
        <v>34.376</v>
      </c>
    </row>
    <row r="78">
      <c r="A78" s="92" t="s">
        <v>4126</v>
      </c>
      <c r="B78" s="92">
        <v>613.0</v>
      </c>
      <c r="C78" s="40">
        <f t="shared" si="4"/>
        <v>37164</v>
      </c>
      <c r="D78" s="40">
        <f t="shared" si="1"/>
        <v>37.164</v>
      </c>
      <c r="E78" s="39">
        <v>35.0</v>
      </c>
      <c r="F78" s="40">
        <v>15.907</v>
      </c>
      <c r="H78" s="20"/>
      <c r="I78" s="19"/>
      <c r="K78" s="40">
        <f t="shared" si="7"/>
        <v>-14.246</v>
      </c>
      <c r="M78" s="39">
        <v>26.0</v>
      </c>
      <c r="N78" s="40">
        <v>10.794</v>
      </c>
      <c r="P78" s="95">
        <v>319.0</v>
      </c>
      <c r="Q78" s="40">
        <f t="shared" si="3"/>
        <v>34.695</v>
      </c>
    </row>
    <row r="79">
      <c r="A79" s="92" t="s">
        <v>577</v>
      </c>
      <c r="B79" s="19">
        <v>587.0</v>
      </c>
      <c r="C79" s="40">
        <f t="shared" si="4"/>
        <v>37751</v>
      </c>
      <c r="D79" s="40">
        <f t="shared" si="1"/>
        <v>37.751</v>
      </c>
      <c r="E79" s="39">
        <v>34.0</v>
      </c>
      <c r="F79" s="40">
        <v>15.241</v>
      </c>
      <c r="H79" s="20"/>
      <c r="I79" s="19"/>
      <c r="K79" s="40">
        <f t="shared" si="7"/>
        <v>-14.246</v>
      </c>
      <c r="M79" s="39">
        <v>25.0</v>
      </c>
      <c r="N79" s="40">
        <v>10.448</v>
      </c>
      <c r="P79" s="95">
        <v>379.0</v>
      </c>
      <c r="Q79" s="40">
        <f t="shared" si="3"/>
        <v>35.074</v>
      </c>
    </row>
    <row r="80">
      <c r="A80" s="92" t="s">
        <v>579</v>
      </c>
      <c r="B80" s="92">
        <v>695.0</v>
      </c>
      <c r="C80" s="40">
        <f t="shared" si="4"/>
        <v>38446</v>
      </c>
      <c r="D80" s="40">
        <f t="shared" si="1"/>
        <v>38.446</v>
      </c>
      <c r="E80" s="39">
        <v>33.0</v>
      </c>
      <c r="F80" s="40">
        <v>14.836</v>
      </c>
      <c r="H80" s="20"/>
      <c r="I80" s="19"/>
      <c r="K80" s="40">
        <f t="shared" si="7"/>
        <v>-14.246</v>
      </c>
      <c r="M80" s="39">
        <v>24.0</v>
      </c>
      <c r="N80" s="40">
        <v>9.925</v>
      </c>
      <c r="P80" s="95">
        <v>449.0</v>
      </c>
      <c r="Q80" s="40">
        <f t="shared" si="3"/>
        <v>35.523</v>
      </c>
    </row>
    <row r="81">
      <c r="A81" s="92" t="s">
        <v>581</v>
      </c>
      <c r="B81" s="92">
        <v>471.0</v>
      </c>
      <c r="C81" s="40">
        <f t="shared" si="4"/>
        <v>38917</v>
      </c>
      <c r="D81" s="40">
        <f t="shared" si="1"/>
        <v>38.917</v>
      </c>
      <c r="E81" s="39">
        <v>32.0</v>
      </c>
      <c r="F81" s="40">
        <v>14.258</v>
      </c>
      <c r="H81" s="20"/>
      <c r="I81" s="19"/>
      <c r="K81" s="40">
        <f t="shared" si="7"/>
        <v>-14.246</v>
      </c>
      <c r="M81" s="39">
        <v>23.0</v>
      </c>
      <c r="N81" s="40">
        <v>9.558</v>
      </c>
      <c r="P81" s="105">
        <v>411.0</v>
      </c>
      <c r="Q81" s="40">
        <f t="shared" si="3"/>
        <v>35.934</v>
      </c>
    </row>
    <row r="82">
      <c r="A82" s="92" t="s">
        <v>583</v>
      </c>
      <c r="B82" s="92">
        <v>647.0</v>
      </c>
      <c r="C82" s="40">
        <f t="shared" si="4"/>
        <v>39564</v>
      </c>
      <c r="D82" s="40">
        <f t="shared" si="1"/>
        <v>39.564</v>
      </c>
      <c r="E82" s="39">
        <v>31.0</v>
      </c>
      <c r="F82" s="40">
        <v>13.732</v>
      </c>
      <c r="H82" s="20"/>
      <c r="I82" s="19"/>
      <c r="K82" s="40">
        <f t="shared" si="7"/>
        <v>-14.246</v>
      </c>
      <c r="M82" s="39">
        <v>22.0</v>
      </c>
      <c r="N82" s="40">
        <v>9.191</v>
      </c>
      <c r="P82" s="95">
        <v>461.0</v>
      </c>
      <c r="Q82" s="40">
        <f t="shared" si="3"/>
        <v>36.395</v>
      </c>
    </row>
    <row r="83">
      <c r="A83" s="92" t="s">
        <v>585</v>
      </c>
      <c r="B83" s="19">
        <v>666.0</v>
      </c>
      <c r="C83" s="40">
        <f t="shared" si="4"/>
        <v>40230</v>
      </c>
      <c r="D83" s="40">
        <f t="shared" si="1"/>
        <v>40.23</v>
      </c>
      <c r="E83" s="39">
        <v>30.0</v>
      </c>
      <c r="F83" s="40">
        <v>13.302</v>
      </c>
      <c r="H83" s="20"/>
      <c r="I83" s="19"/>
      <c r="K83" s="40">
        <f t="shared" si="7"/>
        <v>-14.246</v>
      </c>
      <c r="M83" s="39">
        <v>21.0</v>
      </c>
      <c r="N83" s="40">
        <v>8.581</v>
      </c>
      <c r="P83" s="95">
        <v>658.0</v>
      </c>
      <c r="Q83" s="40">
        <f t="shared" si="3"/>
        <v>37.053</v>
      </c>
    </row>
    <row r="84">
      <c r="A84" s="92" t="s">
        <v>587</v>
      </c>
      <c r="B84" s="19">
        <v>406.0</v>
      </c>
      <c r="C84" s="40">
        <f t="shared" si="4"/>
        <v>40636</v>
      </c>
      <c r="D84" s="40">
        <f t="shared" si="1"/>
        <v>40.636</v>
      </c>
      <c r="E84" s="39">
        <v>29.0</v>
      </c>
      <c r="F84" s="40">
        <v>12.463</v>
      </c>
      <c r="H84" s="20"/>
      <c r="I84" s="19"/>
      <c r="K84" s="40">
        <f t="shared" si="7"/>
        <v>-14.246</v>
      </c>
      <c r="M84" s="39">
        <v>20.0</v>
      </c>
      <c r="N84" s="40">
        <v>8.121</v>
      </c>
      <c r="P84" s="95">
        <v>482.0</v>
      </c>
      <c r="Q84" s="40">
        <f t="shared" si="3"/>
        <v>37.535</v>
      </c>
    </row>
    <row r="85">
      <c r="A85" s="92" t="s">
        <v>4127</v>
      </c>
      <c r="B85" s="92">
        <v>390.0</v>
      </c>
      <c r="C85" s="40">
        <f t="shared" si="4"/>
        <v>41026</v>
      </c>
      <c r="D85" s="40">
        <f t="shared" si="1"/>
        <v>41.026</v>
      </c>
      <c r="E85" s="39">
        <v>28.0</v>
      </c>
      <c r="F85" s="40">
        <v>12.096</v>
      </c>
      <c r="H85" s="20"/>
      <c r="I85" s="19"/>
      <c r="K85" s="40">
        <f t="shared" si="7"/>
        <v>-14.246</v>
      </c>
      <c r="M85" s="39">
        <v>19.0</v>
      </c>
      <c r="N85" s="40">
        <v>7.687</v>
      </c>
      <c r="P85" s="95">
        <v>544.0</v>
      </c>
      <c r="Q85" s="40">
        <f t="shared" si="3"/>
        <v>38.079</v>
      </c>
    </row>
    <row r="86">
      <c r="A86" s="92" t="s">
        <v>591</v>
      </c>
      <c r="B86" s="92">
        <v>390.0</v>
      </c>
      <c r="C86" s="40">
        <f t="shared" si="4"/>
        <v>41416</v>
      </c>
      <c r="D86" s="40">
        <f t="shared" si="1"/>
        <v>41.416</v>
      </c>
      <c r="E86" s="39">
        <v>27.0</v>
      </c>
      <c r="F86" s="40">
        <v>11.654</v>
      </c>
      <c r="H86" s="20"/>
      <c r="I86" s="19"/>
      <c r="K86" s="40">
        <f t="shared" si="7"/>
        <v>-14.246</v>
      </c>
      <c r="M86" s="39">
        <v>18.0</v>
      </c>
      <c r="N86" s="40">
        <v>7.307</v>
      </c>
      <c r="P86" s="95">
        <v>290.0</v>
      </c>
      <c r="Q86" s="40">
        <f t="shared" si="3"/>
        <v>38.369</v>
      </c>
    </row>
    <row r="87">
      <c r="A87" s="92" t="s">
        <v>593</v>
      </c>
      <c r="B87" s="92">
        <v>350.0</v>
      </c>
      <c r="C87" s="40">
        <f t="shared" si="4"/>
        <v>41766</v>
      </c>
      <c r="D87" s="40">
        <f t="shared" si="1"/>
        <v>41.766</v>
      </c>
      <c r="E87" s="39">
        <v>26.0</v>
      </c>
      <c r="F87" s="40">
        <v>11.183</v>
      </c>
      <c r="H87" s="20"/>
      <c r="I87" s="19"/>
      <c r="K87" s="40">
        <f t="shared" si="7"/>
        <v>-14.246</v>
      </c>
      <c r="M87" s="39">
        <v>17.0</v>
      </c>
      <c r="N87" s="40">
        <v>6.928</v>
      </c>
      <c r="P87" s="95">
        <v>583.0</v>
      </c>
      <c r="Q87" s="40">
        <f t="shared" si="3"/>
        <v>38.952</v>
      </c>
    </row>
    <row r="88">
      <c r="A88" s="92" t="s">
        <v>596</v>
      </c>
      <c r="B88" s="92">
        <v>446.0</v>
      </c>
      <c r="C88" s="40">
        <f t="shared" si="4"/>
        <v>42212</v>
      </c>
      <c r="D88" s="40">
        <f t="shared" si="1"/>
        <v>42.212</v>
      </c>
      <c r="E88" s="39">
        <v>25.0</v>
      </c>
      <c r="F88" s="40">
        <v>10.849</v>
      </c>
      <c r="H88" s="20"/>
      <c r="I88" s="19"/>
      <c r="K88" s="40">
        <f t="shared" si="7"/>
        <v>-14.246</v>
      </c>
      <c r="M88" s="39">
        <v>16.0</v>
      </c>
      <c r="N88" s="40">
        <v>6.538</v>
      </c>
      <c r="P88" s="95">
        <v>399.0</v>
      </c>
      <c r="Q88" s="40">
        <f t="shared" si="3"/>
        <v>39.351</v>
      </c>
    </row>
    <row r="89">
      <c r="A89" s="92" t="s">
        <v>598</v>
      </c>
      <c r="B89" s="19">
        <v>591.0</v>
      </c>
      <c r="C89" s="40">
        <f t="shared" si="4"/>
        <v>42803</v>
      </c>
      <c r="D89" s="40">
        <f t="shared" si="1"/>
        <v>42.803</v>
      </c>
      <c r="E89" s="39">
        <v>24.0</v>
      </c>
      <c r="F89" s="40">
        <v>10.389</v>
      </c>
      <c r="H89" s="20"/>
      <c r="I89" s="19"/>
      <c r="K89" s="40">
        <f t="shared" si="7"/>
        <v>-14.246</v>
      </c>
      <c r="M89" s="39">
        <v>15.0</v>
      </c>
      <c r="N89" s="40">
        <v>6.06</v>
      </c>
      <c r="P89" s="95">
        <v>701.0</v>
      </c>
      <c r="Q89" s="40">
        <f t="shared" si="3"/>
        <v>40.052</v>
      </c>
    </row>
    <row r="90">
      <c r="A90" s="92" t="s">
        <v>600</v>
      </c>
      <c r="B90" s="19">
        <v>518.0</v>
      </c>
      <c r="C90" s="40">
        <f t="shared" si="4"/>
        <v>43321</v>
      </c>
      <c r="D90" s="40">
        <f t="shared" si="1"/>
        <v>43.321</v>
      </c>
      <c r="E90" s="39">
        <v>23.0</v>
      </c>
      <c r="F90" s="40">
        <v>9.993</v>
      </c>
      <c r="H90" s="20"/>
      <c r="I90" s="19"/>
      <c r="K90" s="40">
        <f t="shared" si="7"/>
        <v>-14.246</v>
      </c>
      <c r="M90" s="39">
        <v>14.0</v>
      </c>
      <c r="N90" s="40">
        <v>5.661</v>
      </c>
      <c r="P90" s="105">
        <v>443.0</v>
      </c>
      <c r="Q90" s="40">
        <f t="shared" si="3"/>
        <v>40.495</v>
      </c>
    </row>
    <row r="91">
      <c r="A91" s="92" t="s">
        <v>602</v>
      </c>
      <c r="B91" s="92">
        <v>368.0</v>
      </c>
      <c r="C91" s="40">
        <f t="shared" si="4"/>
        <v>43689</v>
      </c>
      <c r="D91" s="40">
        <f t="shared" si="1"/>
        <v>43.689</v>
      </c>
      <c r="E91" s="39">
        <v>22.0</v>
      </c>
      <c r="F91" s="40">
        <v>9.516</v>
      </c>
      <c r="H91" s="20"/>
      <c r="I91" s="19"/>
      <c r="K91" s="40">
        <f t="shared" si="7"/>
        <v>-14.246</v>
      </c>
      <c r="M91" s="39">
        <v>13.0</v>
      </c>
      <c r="N91" s="40">
        <v>5.236</v>
      </c>
      <c r="P91" s="95">
        <v>249.0</v>
      </c>
      <c r="Q91" s="40">
        <f t="shared" si="3"/>
        <v>40.744</v>
      </c>
    </row>
    <row r="92">
      <c r="A92" s="92" t="s">
        <v>605</v>
      </c>
      <c r="B92" s="92">
        <v>459.0</v>
      </c>
      <c r="C92" s="40">
        <f t="shared" si="4"/>
        <v>44148</v>
      </c>
      <c r="D92" s="40">
        <f t="shared" si="1"/>
        <v>44.148</v>
      </c>
      <c r="E92" s="39">
        <v>21.0</v>
      </c>
      <c r="F92" s="40">
        <v>9.126</v>
      </c>
      <c r="H92" s="20"/>
      <c r="I92" s="19"/>
      <c r="K92" s="40">
        <f t="shared" si="7"/>
        <v>-14.246</v>
      </c>
      <c r="M92" s="39">
        <v>12.0</v>
      </c>
      <c r="N92" s="40">
        <v>4.733</v>
      </c>
      <c r="P92" s="95">
        <v>439.0</v>
      </c>
      <c r="Q92" s="40">
        <f t="shared" si="3"/>
        <v>41.183</v>
      </c>
    </row>
    <row r="93">
      <c r="A93" s="92" t="s">
        <v>607</v>
      </c>
      <c r="B93" s="92">
        <v>267.0</v>
      </c>
      <c r="C93" s="40">
        <f t="shared" si="4"/>
        <v>44415</v>
      </c>
      <c r="D93" s="40">
        <f t="shared" si="1"/>
        <v>44.415</v>
      </c>
      <c r="E93" s="39">
        <v>20.0</v>
      </c>
      <c r="F93" s="40">
        <v>8.736</v>
      </c>
      <c r="H93" s="20"/>
      <c r="I93" s="19"/>
      <c r="K93" s="40">
        <f t="shared" si="7"/>
        <v>-14.246</v>
      </c>
      <c r="M93" s="39">
        <v>11.0</v>
      </c>
      <c r="N93" s="40">
        <v>4.267</v>
      </c>
      <c r="P93" s="95">
        <v>393.0</v>
      </c>
      <c r="Q93" s="40">
        <f t="shared" si="3"/>
        <v>41.576</v>
      </c>
    </row>
    <row r="94">
      <c r="A94" s="92" t="s">
        <v>610</v>
      </c>
      <c r="B94" s="92">
        <v>235.0</v>
      </c>
      <c r="C94" s="40">
        <f t="shared" si="4"/>
        <v>44650</v>
      </c>
      <c r="D94" s="40">
        <f t="shared" si="1"/>
        <v>44.65</v>
      </c>
      <c r="E94" s="39">
        <v>19.0</v>
      </c>
      <c r="F94" s="40">
        <v>8.346</v>
      </c>
      <c r="H94" s="20"/>
      <c r="I94" s="19"/>
      <c r="K94" s="40">
        <f t="shared" si="7"/>
        <v>-14.246</v>
      </c>
      <c r="M94" s="39">
        <v>10.0</v>
      </c>
      <c r="N94" s="40">
        <v>3.762</v>
      </c>
      <c r="P94" s="95">
        <v>438.0</v>
      </c>
      <c r="Q94" s="40">
        <f t="shared" si="3"/>
        <v>42.014</v>
      </c>
    </row>
    <row r="95">
      <c r="A95" s="92" t="s">
        <v>612</v>
      </c>
      <c r="B95" s="92">
        <v>272.0</v>
      </c>
      <c r="C95" s="40">
        <f t="shared" si="4"/>
        <v>44922</v>
      </c>
      <c r="D95" s="40">
        <f t="shared" si="1"/>
        <v>44.922</v>
      </c>
      <c r="E95" s="39">
        <v>18.0</v>
      </c>
      <c r="F95" s="40">
        <v>7.964</v>
      </c>
      <c r="H95" s="20"/>
      <c r="I95" s="19"/>
      <c r="K95" s="40">
        <f t="shared" si="7"/>
        <v>-14.246</v>
      </c>
      <c r="M95" s="39">
        <v>9.0</v>
      </c>
      <c r="N95" s="40">
        <v>3.303</v>
      </c>
      <c r="P95" s="95">
        <v>394.0</v>
      </c>
      <c r="Q95" s="40">
        <f t="shared" si="3"/>
        <v>42.408</v>
      </c>
    </row>
    <row r="96">
      <c r="A96" s="92" t="s">
        <v>614</v>
      </c>
      <c r="B96" s="19">
        <v>388.0</v>
      </c>
      <c r="C96" s="40">
        <f t="shared" si="4"/>
        <v>45310</v>
      </c>
      <c r="D96" s="40">
        <f t="shared" si="1"/>
        <v>45.31</v>
      </c>
      <c r="E96" s="39">
        <v>17.0</v>
      </c>
      <c r="F96" s="40">
        <v>7.564</v>
      </c>
      <c r="H96" s="20"/>
      <c r="I96" s="19"/>
      <c r="K96" s="40">
        <f t="shared" si="7"/>
        <v>-14.246</v>
      </c>
      <c r="M96" s="39">
        <v>8.0</v>
      </c>
      <c r="N96" s="40">
        <v>2.879</v>
      </c>
      <c r="P96" s="105">
        <v>476.0</v>
      </c>
      <c r="Q96" s="40">
        <f t="shared" si="3"/>
        <v>42.884</v>
      </c>
    </row>
    <row r="97">
      <c r="A97" s="92" t="s">
        <v>616</v>
      </c>
      <c r="B97" s="92">
        <v>700.0</v>
      </c>
      <c r="C97" s="40">
        <f t="shared" si="4"/>
        <v>46010</v>
      </c>
      <c r="D97" s="40">
        <f t="shared" si="1"/>
        <v>46.01</v>
      </c>
      <c r="E97" s="39">
        <v>16.0</v>
      </c>
      <c r="F97" s="40">
        <v>7.174</v>
      </c>
      <c r="H97" s="20"/>
      <c r="I97" s="19"/>
      <c r="K97" s="40">
        <f t="shared" si="7"/>
        <v>-14.246</v>
      </c>
      <c r="M97" s="39">
        <v>7.0</v>
      </c>
      <c r="N97" s="40">
        <v>2.487</v>
      </c>
      <c r="P97" s="95">
        <v>351.0</v>
      </c>
      <c r="Q97" s="40">
        <f t="shared" si="3"/>
        <v>43.235</v>
      </c>
    </row>
    <row r="98">
      <c r="A98" s="92" t="s">
        <v>618</v>
      </c>
      <c r="B98" s="92">
        <v>700.0</v>
      </c>
      <c r="C98" s="40">
        <f t="shared" si="4"/>
        <v>46710</v>
      </c>
      <c r="D98" s="40">
        <f t="shared" si="1"/>
        <v>46.71</v>
      </c>
      <c r="E98" s="39">
        <v>15.0</v>
      </c>
      <c r="F98" s="40">
        <v>6.573</v>
      </c>
      <c r="H98" s="20"/>
      <c r="I98" s="19"/>
      <c r="K98" s="40">
        <f t="shared" si="7"/>
        <v>-14.246</v>
      </c>
      <c r="M98" s="39">
        <v>6.0</v>
      </c>
      <c r="N98" s="40">
        <v>2.095</v>
      </c>
      <c r="P98" s="95">
        <v>520.0</v>
      </c>
      <c r="Q98" s="40">
        <f t="shared" si="3"/>
        <v>43.755</v>
      </c>
    </row>
    <row r="99">
      <c r="A99" s="92" t="s">
        <v>620</v>
      </c>
      <c r="B99" s="92">
        <v>673.0</v>
      </c>
      <c r="C99" s="40">
        <f t="shared" si="4"/>
        <v>47383</v>
      </c>
      <c r="D99" s="40">
        <f t="shared" si="1"/>
        <v>47.383</v>
      </c>
      <c r="E99" s="39">
        <v>14.0</v>
      </c>
      <c r="F99" s="40">
        <v>5.912</v>
      </c>
      <c r="H99" s="20"/>
      <c r="I99" s="19"/>
      <c r="K99" s="40">
        <f t="shared" si="7"/>
        <v>-14.246</v>
      </c>
      <c r="M99" s="39">
        <v>5.0</v>
      </c>
      <c r="N99" s="40">
        <v>1.703</v>
      </c>
      <c r="P99" s="95">
        <v>623.0</v>
      </c>
      <c r="Q99" s="40">
        <f t="shared" si="3"/>
        <v>44.378</v>
      </c>
    </row>
    <row r="100">
      <c r="A100" s="92" t="s">
        <v>623</v>
      </c>
      <c r="B100" s="92">
        <v>500.0</v>
      </c>
      <c r="C100" s="40">
        <f t="shared" si="4"/>
        <v>47883</v>
      </c>
      <c r="D100" s="40">
        <f t="shared" si="1"/>
        <v>47.883</v>
      </c>
      <c r="E100" s="39">
        <v>13.0</v>
      </c>
      <c r="F100" s="40">
        <v>5.522</v>
      </c>
      <c r="H100" s="38"/>
      <c r="I100" s="19"/>
      <c r="K100" s="40">
        <f t="shared" si="7"/>
        <v>-14.246</v>
      </c>
      <c r="M100" s="39">
        <v>4.0</v>
      </c>
      <c r="N100" s="40">
        <v>1.303</v>
      </c>
      <c r="P100" s="95">
        <v>632.0</v>
      </c>
      <c r="Q100" s="40">
        <f t="shared" si="3"/>
        <v>45.01</v>
      </c>
    </row>
    <row r="101">
      <c r="A101" s="92" t="s">
        <v>625</v>
      </c>
      <c r="B101" s="92">
        <v>340.0</v>
      </c>
      <c r="C101" s="40">
        <f t="shared" si="4"/>
        <v>48223</v>
      </c>
      <c r="D101" s="40">
        <f t="shared" si="1"/>
        <v>48.223</v>
      </c>
      <c r="E101" s="39">
        <v>12.0</v>
      </c>
      <c r="F101" s="40">
        <v>5.18</v>
      </c>
      <c r="I101" s="19"/>
      <c r="K101" s="40">
        <f t="shared" si="7"/>
        <v>-14.246</v>
      </c>
      <c r="M101" s="39">
        <v>3.0</v>
      </c>
      <c r="N101" s="40">
        <v>0.898</v>
      </c>
      <c r="P101" s="95">
        <v>750.0</v>
      </c>
      <c r="Q101" s="40">
        <f t="shared" si="3"/>
        <v>45.76</v>
      </c>
    </row>
    <row r="102">
      <c r="A102" s="92" t="s">
        <v>628</v>
      </c>
      <c r="B102" s="92">
        <v>345.0</v>
      </c>
      <c r="C102" s="40">
        <f t="shared" si="4"/>
        <v>48568</v>
      </c>
      <c r="D102" s="40">
        <f t="shared" si="1"/>
        <v>48.568</v>
      </c>
      <c r="E102" s="39">
        <v>11.0</v>
      </c>
      <c r="F102" s="40">
        <v>4.67</v>
      </c>
      <c r="I102" s="19"/>
      <c r="K102" s="40">
        <f t="shared" si="7"/>
        <v>-14.246</v>
      </c>
      <c r="M102" s="39">
        <v>2.0</v>
      </c>
      <c r="N102" s="40">
        <v>0.485</v>
      </c>
      <c r="P102" s="95">
        <v>622.0</v>
      </c>
      <c r="Q102" s="40">
        <f t="shared" si="3"/>
        <v>46.382</v>
      </c>
    </row>
    <row r="103">
      <c r="A103" s="92" t="s">
        <v>630</v>
      </c>
      <c r="B103" s="19">
        <v>530.0</v>
      </c>
      <c r="C103" s="40">
        <f t="shared" si="4"/>
        <v>49098</v>
      </c>
      <c r="D103" s="40">
        <f t="shared" si="1"/>
        <v>49.098</v>
      </c>
      <c r="E103" s="39">
        <v>10.0</v>
      </c>
      <c r="F103" s="40">
        <v>4.189</v>
      </c>
      <c r="I103" s="19"/>
      <c r="K103" s="40">
        <f t="shared" si="7"/>
        <v>-14.246</v>
      </c>
      <c r="M103" s="39">
        <v>1.0</v>
      </c>
      <c r="N103" s="40">
        <v>0.0</v>
      </c>
      <c r="P103" s="95">
        <v>553.0</v>
      </c>
      <c r="Q103" s="40">
        <f t="shared" si="3"/>
        <v>46.935</v>
      </c>
    </row>
    <row r="104">
      <c r="A104" s="92" t="s">
        <v>633</v>
      </c>
      <c r="B104" s="92">
        <v>769.0</v>
      </c>
      <c r="C104" s="40">
        <f t="shared" si="4"/>
        <v>49867</v>
      </c>
      <c r="D104" s="40">
        <f t="shared" si="1"/>
        <v>49.867</v>
      </c>
      <c r="E104" s="39">
        <v>9.0</v>
      </c>
      <c r="F104" s="40">
        <v>3.79</v>
      </c>
      <c r="I104" s="19"/>
      <c r="K104" s="40">
        <f t="shared" si="7"/>
        <v>-14.246</v>
      </c>
      <c r="P104" s="105">
        <v>446.0</v>
      </c>
      <c r="Q104" s="40">
        <f t="shared" si="3"/>
        <v>47.381</v>
      </c>
    </row>
    <row r="105">
      <c r="A105" s="92" t="s">
        <v>635</v>
      </c>
      <c r="B105" s="92">
        <v>360.0</v>
      </c>
      <c r="C105" s="40">
        <f t="shared" si="4"/>
        <v>50227</v>
      </c>
      <c r="D105" s="40">
        <f t="shared" si="1"/>
        <v>50.227</v>
      </c>
      <c r="E105" s="39">
        <v>8.0</v>
      </c>
      <c r="F105" s="40">
        <v>3.319</v>
      </c>
      <c r="I105" s="19"/>
      <c r="K105" s="40">
        <f t="shared" si="7"/>
        <v>-14.246</v>
      </c>
      <c r="P105" s="95">
        <v>642.0</v>
      </c>
      <c r="Q105" s="40">
        <f t="shared" si="3"/>
        <v>48.023</v>
      </c>
    </row>
    <row r="106">
      <c r="A106" s="92" t="s">
        <v>637</v>
      </c>
      <c r="B106" s="92">
        <v>414.0</v>
      </c>
      <c r="C106" s="40">
        <f t="shared" si="4"/>
        <v>50641</v>
      </c>
      <c r="D106" s="40">
        <f t="shared" si="1"/>
        <v>50.641</v>
      </c>
      <c r="E106" s="39">
        <v>7.0</v>
      </c>
      <c r="F106" s="40">
        <v>2.865</v>
      </c>
      <c r="I106" s="19"/>
      <c r="K106" s="40">
        <f t="shared" si="7"/>
        <v>-14.246</v>
      </c>
      <c r="P106" s="105">
        <v>583.0</v>
      </c>
      <c r="Q106" s="40">
        <f t="shared" si="3"/>
        <v>48.606</v>
      </c>
    </row>
    <row r="107">
      <c r="A107" s="92" t="s">
        <v>639</v>
      </c>
      <c r="B107" s="92">
        <v>500.0</v>
      </c>
      <c r="C107" s="40">
        <f t="shared" si="4"/>
        <v>51141</v>
      </c>
      <c r="D107" s="40">
        <f t="shared" si="1"/>
        <v>51.141</v>
      </c>
      <c r="E107" s="39">
        <v>6.0</v>
      </c>
      <c r="F107" s="40">
        <v>2.446</v>
      </c>
      <c r="I107" s="19"/>
      <c r="K107" s="40">
        <f t="shared" si="7"/>
        <v>-14.246</v>
      </c>
      <c r="P107" s="95">
        <v>404.0</v>
      </c>
      <c r="Q107" s="40">
        <f t="shared" si="3"/>
        <v>49.01</v>
      </c>
    </row>
    <row r="108">
      <c r="A108" s="92" t="s">
        <v>641</v>
      </c>
      <c r="B108" s="92">
        <v>540.0</v>
      </c>
      <c r="C108" s="40">
        <f t="shared" si="4"/>
        <v>51681</v>
      </c>
      <c r="D108" s="40">
        <f t="shared" si="1"/>
        <v>51.681</v>
      </c>
      <c r="E108" s="39">
        <v>5.0</v>
      </c>
      <c r="F108" s="40">
        <v>1.965</v>
      </c>
      <c r="I108" s="19"/>
      <c r="K108" s="40">
        <f t="shared" si="7"/>
        <v>-14.246</v>
      </c>
      <c r="P108" s="95">
        <v>657.0</v>
      </c>
      <c r="Q108" s="40">
        <f t="shared" si="3"/>
        <v>49.667</v>
      </c>
    </row>
    <row r="109">
      <c r="A109" s="92" t="s">
        <v>644</v>
      </c>
      <c r="B109" s="92">
        <v>358.0</v>
      </c>
      <c r="C109" s="40">
        <f t="shared" si="4"/>
        <v>52039</v>
      </c>
      <c r="D109" s="40">
        <f t="shared" si="1"/>
        <v>52.039</v>
      </c>
      <c r="E109" s="39">
        <v>4.0</v>
      </c>
      <c r="F109" s="40">
        <v>1.167</v>
      </c>
      <c r="I109" s="19"/>
      <c r="K109" s="40">
        <f t="shared" si="7"/>
        <v>-14.246</v>
      </c>
      <c r="P109" s="105">
        <v>444.0</v>
      </c>
      <c r="Q109" s="40">
        <f t="shared" si="3"/>
        <v>50.111</v>
      </c>
    </row>
    <row r="110">
      <c r="A110" s="92" t="s">
        <v>647</v>
      </c>
      <c r="B110" s="92">
        <v>335.0</v>
      </c>
      <c r="C110" s="40">
        <f t="shared" si="4"/>
        <v>52374</v>
      </c>
      <c r="D110" s="40">
        <f t="shared" si="1"/>
        <v>52.374</v>
      </c>
      <c r="E110" s="39">
        <v>3.0</v>
      </c>
      <c r="F110" s="40">
        <v>0.583</v>
      </c>
      <c r="I110" s="19"/>
      <c r="K110" s="40">
        <f t="shared" si="7"/>
        <v>-14.246</v>
      </c>
      <c r="P110" s="95">
        <v>462.0</v>
      </c>
      <c r="Q110" s="40">
        <f t="shared" si="3"/>
        <v>50.573</v>
      </c>
    </row>
    <row r="111">
      <c r="A111" s="92" t="s">
        <v>651</v>
      </c>
      <c r="B111" s="92">
        <v>370.0</v>
      </c>
      <c r="C111" s="40">
        <f t="shared" si="4"/>
        <v>52744</v>
      </c>
      <c r="D111" s="40">
        <f t="shared" si="1"/>
        <v>52.744</v>
      </c>
      <c r="E111" s="39">
        <v>2.0</v>
      </c>
      <c r="F111" s="40">
        <v>0.341</v>
      </c>
      <c r="I111" s="19"/>
      <c r="K111" s="40">
        <f t="shared" si="7"/>
        <v>-14.246</v>
      </c>
      <c r="P111" s="95">
        <v>532.0</v>
      </c>
      <c r="Q111" s="40">
        <f t="shared" si="3"/>
        <v>51.105</v>
      </c>
    </row>
    <row r="112">
      <c r="A112" s="92" t="s">
        <v>4128</v>
      </c>
      <c r="B112" s="92">
        <v>495.0</v>
      </c>
      <c r="C112" s="40">
        <f t="shared" si="4"/>
        <v>53239</v>
      </c>
      <c r="D112" s="40">
        <f t="shared" si="1"/>
        <v>53.239</v>
      </c>
      <c r="E112" s="39">
        <v>1.0</v>
      </c>
      <c r="F112" s="40">
        <v>0.0</v>
      </c>
      <c r="I112" s="19"/>
      <c r="K112" s="40">
        <f t="shared" si="7"/>
        <v>-14.246</v>
      </c>
      <c r="P112" s="95">
        <v>381.0</v>
      </c>
      <c r="Q112" s="40">
        <f t="shared" si="3"/>
        <v>51.486</v>
      </c>
    </row>
    <row r="113">
      <c r="I113" s="19"/>
      <c r="K113" s="40">
        <f t="shared" si="7"/>
        <v>-14.246</v>
      </c>
      <c r="P113" s="95">
        <v>698.0</v>
      </c>
      <c r="Q113" s="40">
        <f t="shared" si="3"/>
        <v>52.184</v>
      </c>
    </row>
    <row r="114">
      <c r="I114" s="19"/>
      <c r="K114" s="40">
        <f t="shared" si="7"/>
        <v>-14.246</v>
      </c>
      <c r="P114" s="95">
        <v>401.0</v>
      </c>
      <c r="Q114" s="40">
        <f t="shared" si="3"/>
        <v>52.585</v>
      </c>
    </row>
    <row r="115">
      <c r="P115" s="95">
        <v>673.0</v>
      </c>
      <c r="Q115" s="40">
        <f t="shared" si="3"/>
        <v>53.258</v>
      </c>
    </row>
    <row r="116">
      <c r="P116" s="105">
        <v>519.0</v>
      </c>
      <c r="Q116" s="40">
        <f t="shared" si="3"/>
        <v>53.777</v>
      </c>
    </row>
  </sheetData>
  <drawing r:id="rId1"/>
  <tableParts count="1">
    <tablePart r:id="rId3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1228</v>
      </c>
      <c r="B1" s="39" t="s">
        <v>1225</v>
      </c>
      <c r="C1" s="39" t="s">
        <v>1226</v>
      </c>
      <c r="D1" s="39" t="s">
        <v>673</v>
      </c>
      <c r="E1" s="39" t="s">
        <v>3439</v>
      </c>
      <c r="F1" s="39" t="s">
        <v>64</v>
      </c>
      <c r="G1" s="51" t="s">
        <v>1229</v>
      </c>
      <c r="H1" s="39" t="s">
        <v>1230</v>
      </c>
      <c r="I1" s="40">
        <v>9.292</v>
      </c>
      <c r="J1" s="49">
        <v>19.01746</v>
      </c>
      <c r="K1" s="49">
        <v>72.85987</v>
      </c>
      <c r="L1" s="2" t="s">
        <v>66</v>
      </c>
      <c r="N1" s="39" t="s">
        <v>67</v>
      </c>
      <c r="O1" s="39" t="s">
        <v>68</v>
      </c>
      <c r="Q1" s="39">
        <v>0.0</v>
      </c>
      <c r="R1" s="39">
        <v>0.0</v>
      </c>
      <c r="S1" s="39">
        <v>1.0</v>
      </c>
      <c r="T1" s="39">
        <v>0.0</v>
      </c>
      <c r="U1" s="39">
        <v>0.0</v>
      </c>
      <c r="V1" s="39">
        <v>0.0</v>
      </c>
      <c r="W1" s="39">
        <v>0.0</v>
      </c>
      <c r="X1" s="39">
        <v>0.0</v>
      </c>
      <c r="Y1" s="39">
        <v>0.0</v>
      </c>
      <c r="AC1" s="39">
        <v>250.0</v>
      </c>
      <c r="AE1" s="39">
        <v>1.0</v>
      </c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1971</v>
      </c>
      <c r="B2" s="39" t="s">
        <v>1972</v>
      </c>
      <c r="C2" s="39" t="s">
        <v>1973</v>
      </c>
      <c r="D2" s="39" t="s">
        <v>1845</v>
      </c>
      <c r="E2" s="39" t="s">
        <v>1771</v>
      </c>
      <c r="F2" s="39" t="s">
        <v>64</v>
      </c>
      <c r="G2" s="2" t="s">
        <v>1974</v>
      </c>
      <c r="H2" s="2" t="s">
        <v>1974</v>
      </c>
      <c r="I2" s="40">
        <v>98.632</v>
      </c>
      <c r="L2" s="39" t="s">
        <v>1685</v>
      </c>
      <c r="N2" s="39" t="s">
        <v>67</v>
      </c>
      <c r="O2" s="30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1.0</v>
      </c>
      <c r="W2" s="39">
        <v>0.0</v>
      </c>
      <c r="X2" s="39">
        <v>0.0</v>
      </c>
      <c r="Y2" s="39">
        <v>3.0</v>
      </c>
      <c r="Z2" s="30" t="s">
        <v>1975</v>
      </c>
      <c r="AA2" s="30" t="s">
        <v>1976</v>
      </c>
      <c r="AC2" s="39">
        <v>650.0</v>
      </c>
      <c r="AE2" s="39">
        <v>1.0</v>
      </c>
    </row>
    <row r="3">
      <c r="A3" s="2" t="s">
        <v>4129</v>
      </c>
      <c r="B3" s="39" t="s">
        <v>1972</v>
      </c>
      <c r="C3" s="39" t="s">
        <v>1973</v>
      </c>
      <c r="D3" s="39" t="s">
        <v>4130</v>
      </c>
      <c r="E3" s="39" t="s">
        <v>14</v>
      </c>
      <c r="F3" s="39" t="s">
        <v>64</v>
      </c>
      <c r="G3" s="39" t="s">
        <v>4131</v>
      </c>
      <c r="L3" s="30" t="s">
        <v>1685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X3" s="39">
        <v>3.0</v>
      </c>
      <c r="Y3" s="39">
        <v>2.0</v>
      </c>
      <c r="Z3" s="30" t="s">
        <v>4132</v>
      </c>
      <c r="AA3" s="30" t="s">
        <v>650</v>
      </c>
      <c r="AE3" s="39">
        <v>1.0</v>
      </c>
    </row>
    <row r="4">
      <c r="A4" s="39" t="s">
        <v>2731</v>
      </c>
      <c r="B4" s="39" t="s">
        <v>1972</v>
      </c>
      <c r="C4" s="39" t="s">
        <v>1973</v>
      </c>
      <c r="D4" s="39" t="s">
        <v>4130</v>
      </c>
      <c r="E4" s="39" t="s">
        <v>14</v>
      </c>
      <c r="F4" s="39" t="s">
        <v>64</v>
      </c>
      <c r="G4" s="39" t="s">
        <v>657</v>
      </c>
      <c r="I4" s="40">
        <v>99.7</v>
      </c>
      <c r="L4" s="30" t="s">
        <v>1685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1.0</v>
      </c>
      <c r="W4" s="39">
        <v>1.0</v>
      </c>
      <c r="X4" s="39">
        <v>2.0</v>
      </c>
      <c r="Y4" s="39">
        <v>3.0</v>
      </c>
      <c r="Z4" s="30" t="s">
        <v>2733</v>
      </c>
      <c r="AA4" s="30" t="s">
        <v>2734</v>
      </c>
      <c r="AE4" s="39">
        <v>1.0</v>
      </c>
    </row>
    <row r="5">
      <c r="A5" s="47" t="s">
        <v>4133</v>
      </c>
      <c r="B5" s="47" t="s">
        <v>1972</v>
      </c>
      <c r="C5" s="47" t="s">
        <v>1973</v>
      </c>
      <c r="D5" s="47" t="s">
        <v>4130</v>
      </c>
      <c r="E5" s="47" t="s">
        <v>14</v>
      </c>
      <c r="F5" s="47" t="s">
        <v>64</v>
      </c>
      <c r="G5" s="30" t="s">
        <v>4134</v>
      </c>
      <c r="H5" s="47"/>
      <c r="I5" s="2"/>
      <c r="J5" s="2"/>
      <c r="K5" s="2"/>
      <c r="L5" s="47" t="s">
        <v>1685</v>
      </c>
      <c r="M5" s="2"/>
      <c r="N5" s="47" t="s">
        <v>67</v>
      </c>
      <c r="O5" s="47" t="s">
        <v>68</v>
      </c>
      <c r="P5" s="2"/>
      <c r="Q5" s="48">
        <v>0.0</v>
      </c>
      <c r="R5" s="48">
        <v>0.0</v>
      </c>
      <c r="S5" s="48">
        <v>1.0</v>
      </c>
      <c r="T5" s="48">
        <v>0.0</v>
      </c>
      <c r="U5" s="47"/>
      <c r="V5" s="47"/>
      <c r="W5" s="47"/>
      <c r="X5" s="48">
        <v>3.0</v>
      </c>
      <c r="Y5" s="48">
        <v>0.0</v>
      </c>
      <c r="Z5" s="47" t="s">
        <v>4135</v>
      </c>
      <c r="AA5" s="47" t="s">
        <v>4136</v>
      </c>
      <c r="AB5" s="2"/>
      <c r="AC5" s="2"/>
      <c r="AD5" s="2"/>
      <c r="AE5" s="48">
        <v>1.0</v>
      </c>
    </row>
    <row r="6">
      <c r="A6" s="47" t="s">
        <v>2736</v>
      </c>
      <c r="B6" s="47" t="s">
        <v>1972</v>
      </c>
      <c r="C6" s="47" t="s">
        <v>1973</v>
      </c>
      <c r="D6" s="47" t="s">
        <v>4130</v>
      </c>
      <c r="E6" s="47" t="s">
        <v>14</v>
      </c>
      <c r="F6" s="47" t="s">
        <v>64</v>
      </c>
      <c r="G6" s="47" t="s">
        <v>65</v>
      </c>
      <c r="H6" s="30" t="s">
        <v>4137</v>
      </c>
      <c r="I6" s="2"/>
      <c r="J6" s="2"/>
      <c r="K6" s="2"/>
      <c r="L6" s="47" t="s">
        <v>1685</v>
      </c>
      <c r="M6" s="2"/>
      <c r="N6" s="47" t="s">
        <v>67</v>
      </c>
      <c r="O6" s="47" t="s">
        <v>68</v>
      </c>
      <c r="P6" s="2"/>
      <c r="Q6" s="48">
        <v>0.0</v>
      </c>
      <c r="R6" s="48">
        <v>0.0</v>
      </c>
      <c r="S6" s="48">
        <v>1.0</v>
      </c>
      <c r="T6" s="48">
        <v>0.0</v>
      </c>
      <c r="U6" s="47"/>
      <c r="V6" s="47"/>
      <c r="W6" s="47"/>
      <c r="X6" s="48">
        <v>2.0</v>
      </c>
      <c r="Y6" s="48">
        <v>0.0</v>
      </c>
      <c r="Z6" s="47" t="s">
        <v>4138</v>
      </c>
      <c r="AA6" s="47" t="s">
        <v>2917</v>
      </c>
      <c r="AB6" s="2"/>
      <c r="AC6" s="2"/>
      <c r="AD6" s="2"/>
      <c r="AE6" s="48">
        <v>1.0</v>
      </c>
    </row>
    <row r="7">
      <c r="A7" s="47" t="s">
        <v>2735</v>
      </c>
      <c r="B7" s="47" t="s">
        <v>1972</v>
      </c>
      <c r="C7" s="47" t="s">
        <v>1973</v>
      </c>
      <c r="D7" s="47" t="s">
        <v>4130</v>
      </c>
      <c r="E7" s="47" t="s">
        <v>14</v>
      </c>
      <c r="F7" s="47" t="s">
        <v>64</v>
      </c>
      <c r="G7" s="47" t="s">
        <v>662</v>
      </c>
      <c r="H7" s="47"/>
      <c r="I7" s="2"/>
      <c r="J7" s="2"/>
      <c r="K7" s="2"/>
      <c r="L7" s="47" t="s">
        <v>1685</v>
      </c>
      <c r="M7" s="2"/>
      <c r="N7" s="47" t="s">
        <v>81</v>
      </c>
      <c r="O7" s="47" t="s">
        <v>68</v>
      </c>
      <c r="P7" s="2"/>
      <c r="Q7" s="48">
        <v>1.0</v>
      </c>
      <c r="R7" s="48">
        <v>0.0</v>
      </c>
      <c r="S7" s="48">
        <v>0.0</v>
      </c>
      <c r="T7" s="48">
        <v>0.0</v>
      </c>
      <c r="U7" s="47"/>
      <c r="V7" s="47"/>
      <c r="W7" s="47"/>
      <c r="X7" s="48">
        <v>0.0</v>
      </c>
      <c r="Y7" s="48">
        <v>0.0</v>
      </c>
      <c r="Z7" s="47"/>
      <c r="AA7" s="47"/>
      <c r="AB7" s="2"/>
      <c r="AC7" s="2"/>
      <c r="AD7" s="2"/>
      <c r="AE7" s="48">
        <v>1.0</v>
      </c>
    </row>
    <row r="8">
      <c r="A8" s="2" t="s">
        <v>2741</v>
      </c>
      <c r="B8" s="39" t="s">
        <v>1972</v>
      </c>
      <c r="C8" s="39" t="s">
        <v>1973</v>
      </c>
      <c r="D8" s="39" t="s">
        <v>4130</v>
      </c>
      <c r="E8" s="39" t="s">
        <v>14</v>
      </c>
      <c r="F8" s="39" t="s">
        <v>64</v>
      </c>
      <c r="G8" s="39" t="s">
        <v>2742</v>
      </c>
      <c r="H8" s="39" t="s">
        <v>2742</v>
      </c>
      <c r="L8" s="30" t="s">
        <v>1685</v>
      </c>
      <c r="N8" s="39" t="s">
        <v>81</v>
      </c>
      <c r="O8" s="39" t="s">
        <v>68</v>
      </c>
      <c r="Q8" s="39">
        <v>1.0</v>
      </c>
      <c r="R8" s="39">
        <v>0.0</v>
      </c>
      <c r="S8" s="39">
        <v>0.0</v>
      </c>
      <c r="T8" s="39">
        <v>0.0</v>
      </c>
      <c r="X8" s="39">
        <v>2.0</v>
      </c>
      <c r="Y8" s="39">
        <v>2.0</v>
      </c>
      <c r="Z8" s="30" t="s">
        <v>4139</v>
      </c>
      <c r="AA8" s="30" t="s">
        <v>2086</v>
      </c>
      <c r="AE8" s="39">
        <v>1.0</v>
      </c>
    </row>
    <row r="9">
      <c r="A9" s="2" t="s">
        <v>4140</v>
      </c>
      <c r="B9" s="39" t="s">
        <v>1972</v>
      </c>
      <c r="C9" s="39" t="s">
        <v>1973</v>
      </c>
      <c r="D9" s="39" t="s">
        <v>4130</v>
      </c>
      <c r="E9" s="39" t="s">
        <v>14</v>
      </c>
      <c r="F9" s="39" t="s">
        <v>64</v>
      </c>
      <c r="G9" s="39" t="s">
        <v>4141</v>
      </c>
      <c r="L9" s="30" t="s">
        <v>1685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X9" s="39">
        <v>0.0</v>
      </c>
      <c r="Y9" s="39">
        <v>0.0</v>
      </c>
      <c r="AE9" s="39">
        <v>1.0</v>
      </c>
    </row>
    <row r="10">
      <c r="A10" s="2" t="s">
        <v>4142</v>
      </c>
      <c r="B10" s="39" t="s">
        <v>1972</v>
      </c>
      <c r="C10" s="39" t="s">
        <v>1973</v>
      </c>
      <c r="D10" s="39" t="s">
        <v>4130</v>
      </c>
      <c r="E10" s="39" t="s">
        <v>14</v>
      </c>
      <c r="F10" s="39" t="s">
        <v>64</v>
      </c>
      <c r="L10" s="30" t="s">
        <v>1685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X10" s="39">
        <v>0.0</v>
      </c>
      <c r="Y10" s="39">
        <v>3.0</v>
      </c>
      <c r="Z10" s="30" t="s">
        <v>4143</v>
      </c>
      <c r="AA10" s="30" t="s">
        <v>1976</v>
      </c>
      <c r="AE10" s="39">
        <v>1.0</v>
      </c>
    </row>
    <row r="11">
      <c r="A11" s="2" t="s">
        <v>4144</v>
      </c>
      <c r="B11" s="39" t="s">
        <v>1972</v>
      </c>
      <c r="C11" s="39" t="s">
        <v>1973</v>
      </c>
      <c r="D11" s="39" t="s">
        <v>4130</v>
      </c>
      <c r="E11" s="39" t="s">
        <v>14</v>
      </c>
      <c r="F11" s="39" t="s">
        <v>64</v>
      </c>
      <c r="L11" s="30" t="s">
        <v>1685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X11" s="39">
        <v>0.0</v>
      </c>
      <c r="Y11" s="39">
        <v>3.0</v>
      </c>
      <c r="Z11" s="30" t="s">
        <v>4143</v>
      </c>
      <c r="AA11" s="30" t="s">
        <v>1976</v>
      </c>
      <c r="AE11" s="39">
        <v>1.0</v>
      </c>
    </row>
    <row r="12">
      <c r="A12" s="39" t="s">
        <v>2738</v>
      </c>
      <c r="B12" s="39" t="s">
        <v>1972</v>
      </c>
      <c r="C12" s="39" t="s">
        <v>1973</v>
      </c>
      <c r="D12" s="39" t="s">
        <v>4130</v>
      </c>
      <c r="E12" s="39" t="s">
        <v>14</v>
      </c>
      <c r="F12" s="39" t="s">
        <v>64</v>
      </c>
      <c r="G12" s="39" t="s">
        <v>4145</v>
      </c>
      <c r="H12" s="39" t="s">
        <v>4145</v>
      </c>
      <c r="I12" s="40">
        <v>100.645</v>
      </c>
      <c r="L12" s="30" t="s">
        <v>1685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3.0</v>
      </c>
      <c r="Z12" s="30" t="s">
        <v>2740</v>
      </c>
      <c r="AA12" s="30" t="s">
        <v>266</v>
      </c>
      <c r="AE12" s="39">
        <v>1.0</v>
      </c>
    </row>
    <row r="13">
      <c r="A13" s="47" t="s">
        <v>2816</v>
      </c>
      <c r="B13" s="47" t="s">
        <v>1972</v>
      </c>
      <c r="C13" s="47" t="s">
        <v>1973</v>
      </c>
      <c r="D13" s="47" t="s">
        <v>4130</v>
      </c>
      <c r="E13" s="47" t="s">
        <v>14</v>
      </c>
      <c r="F13" s="47" t="s">
        <v>64</v>
      </c>
      <c r="G13" s="39" t="s">
        <v>4145</v>
      </c>
      <c r="I13" s="2"/>
      <c r="J13" s="2"/>
      <c r="K13" s="2"/>
      <c r="L13" s="47" t="s">
        <v>1685</v>
      </c>
      <c r="M13" s="2"/>
      <c r="N13" s="47" t="s">
        <v>67</v>
      </c>
      <c r="O13" s="47" t="s">
        <v>68</v>
      </c>
      <c r="P13" s="2"/>
      <c r="Q13" s="48">
        <v>0.0</v>
      </c>
      <c r="R13" s="48">
        <v>0.0</v>
      </c>
      <c r="S13" s="48">
        <v>1.0</v>
      </c>
      <c r="T13" s="48">
        <v>0.0</v>
      </c>
      <c r="U13" s="47"/>
      <c r="V13" s="47"/>
      <c r="W13" s="47"/>
      <c r="X13" s="48">
        <v>1.0</v>
      </c>
      <c r="Y13" s="48">
        <v>2.0</v>
      </c>
      <c r="Z13" s="2" t="s">
        <v>2817</v>
      </c>
      <c r="AA13" s="2" t="s">
        <v>1138</v>
      </c>
      <c r="AB13" s="2"/>
      <c r="AC13" s="2"/>
      <c r="AD13" s="2"/>
      <c r="AE13" s="48">
        <v>1.0</v>
      </c>
    </row>
    <row r="14">
      <c r="A14" s="47" t="s">
        <v>2744</v>
      </c>
      <c r="B14" s="47" t="s">
        <v>1972</v>
      </c>
      <c r="C14" s="47" t="s">
        <v>1973</v>
      </c>
      <c r="D14" s="47" t="s">
        <v>4130</v>
      </c>
      <c r="E14" s="47" t="s">
        <v>14</v>
      </c>
      <c r="F14" s="47" t="s">
        <v>64</v>
      </c>
      <c r="G14" s="2" t="s">
        <v>2745</v>
      </c>
      <c r="H14" s="2" t="s">
        <v>2745</v>
      </c>
      <c r="I14" s="2"/>
      <c r="J14" s="2"/>
      <c r="K14" s="2"/>
      <c r="L14" s="47" t="s">
        <v>1685</v>
      </c>
      <c r="M14" s="2"/>
      <c r="N14" s="47" t="s">
        <v>67</v>
      </c>
      <c r="O14" s="47" t="s">
        <v>68</v>
      </c>
      <c r="P14" s="2"/>
      <c r="Q14" s="48">
        <v>0.0</v>
      </c>
      <c r="R14" s="48">
        <v>0.0</v>
      </c>
      <c r="S14" s="48">
        <v>1.0</v>
      </c>
      <c r="T14" s="48">
        <v>0.0</v>
      </c>
      <c r="U14" s="47"/>
      <c r="V14" s="47"/>
      <c r="W14" s="47"/>
      <c r="X14" s="48">
        <v>2.0</v>
      </c>
      <c r="Y14" s="48">
        <v>1.0</v>
      </c>
      <c r="Z14" s="2" t="s">
        <v>2746</v>
      </c>
      <c r="AA14" s="2" t="s">
        <v>1703</v>
      </c>
      <c r="AB14" s="2"/>
      <c r="AC14" s="2"/>
      <c r="AD14" s="2"/>
      <c r="AE14" s="48">
        <v>1.0</v>
      </c>
    </row>
    <row r="15">
      <c r="A15" s="39" t="s">
        <v>4146</v>
      </c>
      <c r="B15" s="39" t="s">
        <v>1972</v>
      </c>
      <c r="C15" s="39" t="s">
        <v>1973</v>
      </c>
      <c r="D15" s="39" t="s">
        <v>4130</v>
      </c>
      <c r="E15" s="39" t="s">
        <v>14</v>
      </c>
      <c r="F15" s="39" t="s">
        <v>64</v>
      </c>
      <c r="G15" s="39" t="s">
        <v>4147</v>
      </c>
      <c r="H15" s="39" t="s">
        <v>4147</v>
      </c>
      <c r="L15" s="30" t="s">
        <v>1685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AE15" s="39">
        <v>1.0</v>
      </c>
    </row>
    <row r="16">
      <c r="A16" s="2" t="s">
        <v>4148</v>
      </c>
      <c r="B16" s="39" t="s">
        <v>1972</v>
      </c>
      <c r="C16" s="39" t="s">
        <v>1973</v>
      </c>
      <c r="D16" s="39" t="s">
        <v>4130</v>
      </c>
      <c r="E16" s="39" t="s">
        <v>14</v>
      </c>
      <c r="F16" s="39" t="s">
        <v>64</v>
      </c>
      <c r="L16" s="30" t="s">
        <v>1685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X16" s="39">
        <v>2.0</v>
      </c>
      <c r="Y16" s="39">
        <v>1.0</v>
      </c>
      <c r="Z16" s="30" t="s">
        <v>2746</v>
      </c>
      <c r="AA16" s="30" t="s">
        <v>1703</v>
      </c>
      <c r="AE16" s="39">
        <v>1.0</v>
      </c>
    </row>
    <row r="17">
      <c r="A17" s="2" t="s">
        <v>4149</v>
      </c>
      <c r="B17" s="39" t="s">
        <v>1972</v>
      </c>
      <c r="C17" s="39" t="s">
        <v>1973</v>
      </c>
      <c r="D17" s="39" t="s">
        <v>4130</v>
      </c>
      <c r="E17" s="39" t="s">
        <v>14</v>
      </c>
      <c r="F17" s="39" t="s">
        <v>64</v>
      </c>
      <c r="L17" s="30" t="s">
        <v>1685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X17" s="39">
        <v>2.0</v>
      </c>
      <c r="Y17" s="39">
        <v>1.0</v>
      </c>
      <c r="Z17" s="30" t="s">
        <v>2746</v>
      </c>
      <c r="AA17" s="30" t="s">
        <v>1703</v>
      </c>
      <c r="AE17" s="39">
        <v>1.0</v>
      </c>
    </row>
    <row r="18">
      <c r="A18" s="2" t="s">
        <v>4150</v>
      </c>
      <c r="B18" s="39" t="s">
        <v>1972</v>
      </c>
      <c r="C18" s="39" t="s">
        <v>1973</v>
      </c>
      <c r="D18" s="39" t="s">
        <v>4130</v>
      </c>
      <c r="E18" s="39" t="s">
        <v>14</v>
      </c>
      <c r="F18" s="39" t="s">
        <v>64</v>
      </c>
      <c r="L18" s="30" t="s">
        <v>1685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X18" s="39">
        <v>2.0</v>
      </c>
      <c r="Y18" s="39">
        <v>1.0</v>
      </c>
      <c r="Z18" s="30" t="s">
        <v>2746</v>
      </c>
      <c r="AA18" s="30" t="s">
        <v>1703</v>
      </c>
      <c r="AE18" s="39">
        <v>1.0</v>
      </c>
    </row>
    <row r="19">
      <c r="A19" s="2" t="s">
        <v>4151</v>
      </c>
      <c r="B19" s="39" t="s">
        <v>1972</v>
      </c>
      <c r="C19" s="39" t="s">
        <v>1973</v>
      </c>
      <c r="D19" s="39" t="s">
        <v>4130</v>
      </c>
      <c r="E19" s="39" t="s">
        <v>14</v>
      </c>
      <c r="F19" s="39" t="s">
        <v>64</v>
      </c>
      <c r="G19" s="39" t="s">
        <v>4152</v>
      </c>
      <c r="H19" s="39" t="s">
        <v>4152</v>
      </c>
      <c r="L19" s="30" t="s">
        <v>1685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X19" s="39">
        <v>3.0</v>
      </c>
      <c r="Y19" s="39">
        <v>0.0</v>
      </c>
      <c r="Z19" s="30" t="s">
        <v>4153</v>
      </c>
      <c r="AA19" s="30" t="s">
        <v>4136</v>
      </c>
      <c r="AE19" s="39">
        <v>1.0</v>
      </c>
    </row>
    <row r="20">
      <c r="A20" s="2" t="s">
        <v>4154</v>
      </c>
      <c r="B20" s="39" t="s">
        <v>1972</v>
      </c>
      <c r="C20" s="39" t="s">
        <v>1973</v>
      </c>
      <c r="D20" s="39" t="s">
        <v>4130</v>
      </c>
      <c r="E20" s="39" t="s">
        <v>14</v>
      </c>
      <c r="F20" s="39" t="s">
        <v>64</v>
      </c>
      <c r="G20" s="39" t="s">
        <v>4147</v>
      </c>
      <c r="H20" s="39" t="s">
        <v>4147</v>
      </c>
      <c r="L20" s="30" t="s">
        <v>1685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AE20" s="39">
        <v>1.0</v>
      </c>
    </row>
    <row r="21">
      <c r="A21" s="39" t="s">
        <v>4155</v>
      </c>
      <c r="B21" s="39" t="s">
        <v>2750</v>
      </c>
      <c r="C21" s="39" t="s">
        <v>2751</v>
      </c>
      <c r="D21" s="39" t="s">
        <v>4130</v>
      </c>
      <c r="E21" s="39" t="s">
        <v>14</v>
      </c>
      <c r="F21" s="39" t="s">
        <v>64</v>
      </c>
      <c r="G21" s="39" t="s">
        <v>4156</v>
      </c>
      <c r="H21" s="39" t="s">
        <v>4156</v>
      </c>
      <c r="L21" s="30" t="s">
        <v>1685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1.0</v>
      </c>
      <c r="Z21" s="30" t="s">
        <v>4157</v>
      </c>
      <c r="AA21" s="30" t="s">
        <v>97</v>
      </c>
      <c r="AE21" s="39">
        <v>1.0</v>
      </c>
    </row>
    <row r="22">
      <c r="A22" s="63" t="s">
        <v>4158</v>
      </c>
      <c r="B22" s="39" t="s">
        <v>2750</v>
      </c>
      <c r="C22" s="39" t="s">
        <v>2751</v>
      </c>
      <c r="D22" s="39" t="s">
        <v>4130</v>
      </c>
      <c r="E22" s="39" t="s">
        <v>14</v>
      </c>
      <c r="F22" s="39" t="s">
        <v>64</v>
      </c>
      <c r="G22" s="39" t="s">
        <v>4159</v>
      </c>
      <c r="H22" s="39" t="s">
        <v>4159</v>
      </c>
      <c r="L22" s="30" t="s">
        <v>1685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/>
      <c r="V22" s="39"/>
      <c r="W22" s="39"/>
      <c r="X22" s="39"/>
      <c r="Y22" s="39"/>
      <c r="AC22" s="39"/>
      <c r="AE22" s="39">
        <v>1.0</v>
      </c>
    </row>
    <row r="23">
      <c r="A23" s="39" t="s">
        <v>4160</v>
      </c>
      <c r="B23" s="39" t="s">
        <v>2750</v>
      </c>
      <c r="C23" s="39" t="s">
        <v>2751</v>
      </c>
      <c r="D23" s="39" t="s">
        <v>4130</v>
      </c>
      <c r="E23" s="39" t="s">
        <v>14</v>
      </c>
      <c r="F23" s="39" t="s">
        <v>64</v>
      </c>
      <c r="G23" s="39" t="s">
        <v>4156</v>
      </c>
      <c r="H23" s="39" t="s">
        <v>4156</v>
      </c>
      <c r="L23" s="30" t="s">
        <v>1685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AC23" s="39">
        <v>200.0</v>
      </c>
      <c r="AE23" s="39">
        <v>1.0</v>
      </c>
    </row>
    <row r="24">
      <c r="A24" s="39" t="s">
        <v>4161</v>
      </c>
      <c r="D24" s="39" t="s">
        <v>4130</v>
      </c>
      <c r="E24" s="39" t="s">
        <v>14</v>
      </c>
      <c r="F24" s="39" t="s">
        <v>64</v>
      </c>
      <c r="G24" s="39" t="s">
        <v>4162</v>
      </c>
      <c r="H24" s="39" t="s">
        <v>4162</v>
      </c>
      <c r="L24" s="30" t="s">
        <v>1685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AC24" s="39">
        <v>500.0</v>
      </c>
      <c r="AE24" s="39">
        <v>1.0</v>
      </c>
    </row>
    <row r="25">
      <c r="A25" s="39" t="s">
        <v>4163</v>
      </c>
      <c r="D25" s="39" t="s">
        <v>4130</v>
      </c>
      <c r="E25" s="39" t="s">
        <v>14</v>
      </c>
      <c r="F25" s="39" t="s">
        <v>64</v>
      </c>
      <c r="G25" s="39" t="s">
        <v>4164</v>
      </c>
      <c r="H25" s="39" t="s">
        <v>4164</v>
      </c>
      <c r="L25" s="47" t="s">
        <v>1716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AC25" s="39">
        <v>550.0</v>
      </c>
      <c r="AE25" s="39">
        <v>1.0</v>
      </c>
    </row>
    <row r="26">
      <c r="A26" s="39" t="s">
        <v>4165</v>
      </c>
      <c r="D26" s="39" t="s">
        <v>4130</v>
      </c>
      <c r="E26" s="39" t="s">
        <v>14</v>
      </c>
      <c r="F26" s="39" t="s">
        <v>64</v>
      </c>
      <c r="G26" s="39" t="s">
        <v>4166</v>
      </c>
      <c r="H26" s="39" t="s">
        <v>4166</v>
      </c>
      <c r="L26" s="30" t="s">
        <v>1685</v>
      </c>
      <c r="N26" s="39" t="s">
        <v>67</v>
      </c>
      <c r="O26" s="39" t="s">
        <v>68</v>
      </c>
      <c r="Q26" s="39">
        <v>0.0</v>
      </c>
      <c r="R26" s="39">
        <v>0.0</v>
      </c>
      <c r="S26" s="39">
        <v>1.0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AC26" s="39">
        <v>450.0</v>
      </c>
      <c r="AE26" s="39">
        <v>1.0</v>
      </c>
    </row>
    <row r="27">
      <c r="A27" s="39" t="s">
        <v>4167</v>
      </c>
      <c r="D27" s="39" t="s">
        <v>4130</v>
      </c>
      <c r="E27" s="39" t="s">
        <v>14</v>
      </c>
      <c r="F27" s="39" t="s">
        <v>64</v>
      </c>
      <c r="G27" s="39" t="s">
        <v>4168</v>
      </c>
      <c r="H27" s="39" t="s">
        <v>4168</v>
      </c>
      <c r="L27" s="47" t="s">
        <v>1716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AC27" s="39">
        <v>600.0</v>
      </c>
      <c r="AE27" s="39">
        <v>1.0</v>
      </c>
    </row>
    <row r="28">
      <c r="A28" s="39" t="s">
        <v>4169</v>
      </c>
      <c r="B28" s="39" t="s">
        <v>4170</v>
      </c>
      <c r="C28" s="39" t="s">
        <v>4171</v>
      </c>
      <c r="D28" s="39" t="s">
        <v>4130</v>
      </c>
      <c r="E28" s="39" t="s">
        <v>14</v>
      </c>
      <c r="F28" s="39" t="s">
        <v>64</v>
      </c>
      <c r="G28" s="39" t="s">
        <v>4172</v>
      </c>
      <c r="H28" s="39" t="s">
        <v>4172</v>
      </c>
      <c r="L28" s="30" t="s">
        <v>1685</v>
      </c>
      <c r="N28" s="39" t="s">
        <v>67</v>
      </c>
      <c r="O28" s="39" t="s">
        <v>68</v>
      </c>
      <c r="Q28" s="39">
        <v>0.0</v>
      </c>
      <c r="R28" s="39">
        <v>0.0</v>
      </c>
      <c r="S28" s="39">
        <v>1.0</v>
      </c>
      <c r="T28" s="39">
        <v>0.0</v>
      </c>
      <c r="U28" s="39">
        <v>0.0</v>
      </c>
      <c r="X28" s="39">
        <v>0.0</v>
      </c>
      <c r="Y28" s="39">
        <v>1.0</v>
      </c>
      <c r="Z28" s="30" t="s">
        <v>1100</v>
      </c>
      <c r="AA28" s="30" t="s">
        <v>97</v>
      </c>
      <c r="AC28" s="39">
        <v>250.0</v>
      </c>
      <c r="AE28" s="39">
        <v>1.0</v>
      </c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  <row r="2">
      <c r="A2" s="39" t="s">
        <v>4173</v>
      </c>
      <c r="B2" s="39" t="s">
        <v>4170</v>
      </c>
      <c r="C2" s="39" t="s">
        <v>4171</v>
      </c>
      <c r="D2" s="39" t="s">
        <v>4130</v>
      </c>
      <c r="E2" s="39" t="s">
        <v>15</v>
      </c>
      <c r="F2" s="39" t="s">
        <v>397</v>
      </c>
      <c r="G2" s="39" t="s">
        <v>657</v>
      </c>
      <c r="H2" s="39" t="s">
        <v>4174</v>
      </c>
      <c r="L2" s="39" t="s">
        <v>1685</v>
      </c>
      <c r="N2" s="39" t="s">
        <v>67</v>
      </c>
      <c r="O2" s="39" t="s">
        <v>68</v>
      </c>
      <c r="Q2" s="39">
        <v>0.0</v>
      </c>
      <c r="R2" s="39">
        <v>0.0</v>
      </c>
      <c r="S2" s="39">
        <v>1.0</v>
      </c>
      <c r="T2" s="39">
        <v>0.0</v>
      </c>
      <c r="U2" s="39">
        <v>0.0</v>
      </c>
      <c r="V2" s="39">
        <v>0.0</v>
      </c>
      <c r="W2" s="39">
        <v>1.0</v>
      </c>
      <c r="X2" s="39">
        <v>0.0</v>
      </c>
      <c r="Y2" s="39">
        <v>0.0</v>
      </c>
      <c r="AE2" s="39">
        <v>1.0</v>
      </c>
    </row>
    <row r="3">
      <c r="A3" s="39" t="s">
        <v>4175</v>
      </c>
      <c r="B3" s="39" t="s">
        <v>4170</v>
      </c>
      <c r="C3" s="39" t="s">
        <v>4171</v>
      </c>
      <c r="D3" s="39" t="s">
        <v>4130</v>
      </c>
      <c r="E3" s="39" t="s">
        <v>15</v>
      </c>
      <c r="F3" s="39" t="s">
        <v>397</v>
      </c>
      <c r="G3" s="39" t="s">
        <v>662</v>
      </c>
      <c r="H3" s="39" t="s">
        <v>4174</v>
      </c>
      <c r="L3" s="39" t="s">
        <v>1685</v>
      </c>
      <c r="N3" s="39" t="s">
        <v>67</v>
      </c>
      <c r="O3" s="39" t="s">
        <v>68</v>
      </c>
      <c r="Q3" s="39">
        <v>0.0</v>
      </c>
      <c r="R3" s="39">
        <v>0.0</v>
      </c>
      <c r="S3" s="39">
        <v>1.0</v>
      </c>
      <c r="T3" s="39">
        <v>0.0</v>
      </c>
      <c r="U3" s="39">
        <v>0.0</v>
      </c>
      <c r="V3" s="39">
        <v>0.0</v>
      </c>
      <c r="W3" s="39">
        <v>1.0</v>
      </c>
      <c r="X3" s="39">
        <v>0.0</v>
      </c>
      <c r="Y3" s="39">
        <v>0.0</v>
      </c>
      <c r="AC3" s="20" t="s">
        <v>4176</v>
      </c>
      <c r="AE3" s="39">
        <v>1.0</v>
      </c>
    </row>
    <row r="4">
      <c r="A4" s="39" t="s">
        <v>4177</v>
      </c>
      <c r="B4" s="39" t="s">
        <v>4170</v>
      </c>
      <c r="C4" s="39" t="s">
        <v>4171</v>
      </c>
      <c r="D4" s="39" t="s">
        <v>4130</v>
      </c>
      <c r="E4" s="39" t="s">
        <v>15</v>
      </c>
      <c r="F4" s="39" t="s">
        <v>397</v>
      </c>
      <c r="G4" s="39" t="s">
        <v>4178</v>
      </c>
      <c r="H4" s="39" t="s">
        <v>4178</v>
      </c>
      <c r="L4" s="39" t="s">
        <v>1685</v>
      </c>
      <c r="N4" s="39" t="s">
        <v>67</v>
      </c>
      <c r="O4" s="39" t="s">
        <v>68</v>
      </c>
      <c r="Q4" s="39">
        <v>0.0</v>
      </c>
      <c r="R4" s="39">
        <v>0.0</v>
      </c>
      <c r="S4" s="39">
        <v>1.0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AC4" s="20" t="s">
        <v>4179</v>
      </c>
      <c r="AE4" s="39">
        <v>1.0</v>
      </c>
    </row>
    <row r="5">
      <c r="A5" s="39" t="s">
        <v>4167</v>
      </c>
      <c r="D5" s="39" t="s">
        <v>4130</v>
      </c>
      <c r="E5" s="39" t="s">
        <v>15</v>
      </c>
      <c r="F5" s="39" t="s">
        <v>397</v>
      </c>
      <c r="G5" s="39" t="s">
        <v>4180</v>
      </c>
      <c r="H5" s="39" t="s">
        <v>4180</v>
      </c>
      <c r="L5" s="47" t="s">
        <v>1716</v>
      </c>
      <c r="N5" s="39" t="s">
        <v>67</v>
      </c>
      <c r="O5" s="39" t="s">
        <v>68</v>
      </c>
      <c r="Q5" s="39">
        <v>0.0</v>
      </c>
      <c r="R5" s="39">
        <v>0.0</v>
      </c>
      <c r="S5" s="39">
        <v>1.0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AC5" s="20" t="s">
        <v>4181</v>
      </c>
      <c r="AE5" s="39">
        <v>1.0</v>
      </c>
    </row>
    <row r="6">
      <c r="A6" s="39" t="s">
        <v>4161</v>
      </c>
      <c r="D6" s="39" t="s">
        <v>4130</v>
      </c>
      <c r="E6" s="39" t="s">
        <v>15</v>
      </c>
      <c r="F6" s="39" t="s">
        <v>397</v>
      </c>
      <c r="G6" s="39" t="s">
        <v>4182</v>
      </c>
      <c r="H6" s="39" t="s">
        <v>4182</v>
      </c>
      <c r="L6" s="39" t="s">
        <v>1685</v>
      </c>
      <c r="N6" s="39" t="s">
        <v>67</v>
      </c>
      <c r="O6" s="39" t="s">
        <v>68</v>
      </c>
      <c r="Q6" s="39">
        <v>0.0</v>
      </c>
      <c r="R6" s="39">
        <v>0.0</v>
      </c>
      <c r="S6" s="39">
        <v>1.0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AC6" s="20" t="s">
        <v>4181</v>
      </c>
      <c r="AE6" s="39">
        <v>1.0</v>
      </c>
    </row>
    <row r="7">
      <c r="A7" s="39" t="s">
        <v>4183</v>
      </c>
      <c r="D7" s="39" t="s">
        <v>4130</v>
      </c>
      <c r="E7" s="39" t="s">
        <v>15</v>
      </c>
      <c r="F7" s="39" t="s">
        <v>397</v>
      </c>
      <c r="G7" s="39" t="s">
        <v>4184</v>
      </c>
      <c r="H7" s="39" t="s">
        <v>4184</v>
      </c>
      <c r="L7" s="47" t="s">
        <v>1716</v>
      </c>
      <c r="N7" s="39" t="s">
        <v>67</v>
      </c>
      <c r="O7" s="39" t="s">
        <v>68</v>
      </c>
      <c r="Q7" s="39">
        <v>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AC7" s="20" t="s">
        <v>4185</v>
      </c>
      <c r="AE7" s="39">
        <v>1.0</v>
      </c>
    </row>
    <row r="8">
      <c r="A8" s="39" t="s">
        <v>4186</v>
      </c>
      <c r="B8" s="39" t="s">
        <v>2750</v>
      </c>
      <c r="C8" s="39" t="s">
        <v>2751</v>
      </c>
      <c r="D8" s="39" t="s">
        <v>4130</v>
      </c>
      <c r="E8" s="39" t="s">
        <v>15</v>
      </c>
      <c r="F8" s="39" t="s">
        <v>397</v>
      </c>
      <c r="G8" s="39" t="s">
        <v>2591</v>
      </c>
      <c r="H8" s="39" t="s">
        <v>2591</v>
      </c>
      <c r="L8" s="39" t="s">
        <v>1685</v>
      </c>
      <c r="M8" s="39" t="s">
        <v>2126</v>
      </c>
      <c r="N8" s="39" t="s">
        <v>67</v>
      </c>
      <c r="O8" s="39" t="s">
        <v>68</v>
      </c>
      <c r="Q8" s="39">
        <v>0.0</v>
      </c>
      <c r="R8" s="39">
        <v>0.0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AC8" s="20" t="s">
        <v>4187</v>
      </c>
      <c r="AE8" s="39">
        <v>1.0</v>
      </c>
    </row>
    <row r="9">
      <c r="A9" s="39" t="s">
        <v>4188</v>
      </c>
      <c r="B9" s="39" t="s">
        <v>2750</v>
      </c>
      <c r="C9" s="39" t="s">
        <v>2751</v>
      </c>
      <c r="D9" s="39" t="s">
        <v>4130</v>
      </c>
      <c r="E9" s="39" t="s">
        <v>15</v>
      </c>
      <c r="F9" s="39" t="s">
        <v>397</v>
      </c>
      <c r="G9" s="39" t="s">
        <v>4189</v>
      </c>
      <c r="H9" s="39" t="s">
        <v>4189</v>
      </c>
      <c r="L9" s="39" t="s">
        <v>1685</v>
      </c>
      <c r="N9" s="39" t="s">
        <v>67</v>
      </c>
      <c r="O9" s="39" t="s">
        <v>68</v>
      </c>
      <c r="Q9" s="39">
        <v>0.0</v>
      </c>
      <c r="R9" s="39">
        <v>0.0</v>
      </c>
      <c r="S9" s="39">
        <v>1.0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AC9" s="20" t="s">
        <v>4190</v>
      </c>
      <c r="AE9" s="39">
        <v>1.0</v>
      </c>
    </row>
    <row r="10">
      <c r="A10" s="39" t="s">
        <v>4191</v>
      </c>
      <c r="B10" s="39" t="s">
        <v>2750</v>
      </c>
      <c r="C10" s="39" t="s">
        <v>2751</v>
      </c>
      <c r="D10" s="39" t="s">
        <v>4130</v>
      </c>
      <c r="E10" s="39" t="s">
        <v>15</v>
      </c>
      <c r="F10" s="39" t="s">
        <v>397</v>
      </c>
      <c r="G10" s="39" t="s">
        <v>4192</v>
      </c>
      <c r="H10" s="39" t="s">
        <v>4192</v>
      </c>
      <c r="L10" s="39" t="s">
        <v>1685</v>
      </c>
      <c r="N10" s="39" t="s">
        <v>67</v>
      </c>
      <c r="O10" s="39" t="s">
        <v>68</v>
      </c>
      <c r="Q10" s="39">
        <v>0.0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1.0</v>
      </c>
      <c r="Z10" s="30" t="s">
        <v>4193</v>
      </c>
      <c r="AA10" s="30" t="s">
        <v>97</v>
      </c>
      <c r="AC10" s="20" t="s">
        <v>4190</v>
      </c>
      <c r="AE10" s="39">
        <v>1.0</v>
      </c>
    </row>
    <row r="11">
      <c r="A11" s="39" t="s">
        <v>4194</v>
      </c>
      <c r="B11" s="39" t="s">
        <v>1972</v>
      </c>
      <c r="C11" s="39" t="s">
        <v>1973</v>
      </c>
      <c r="D11" s="39" t="s">
        <v>4130</v>
      </c>
      <c r="E11" s="39" t="s">
        <v>15</v>
      </c>
      <c r="F11" s="39" t="s">
        <v>397</v>
      </c>
      <c r="G11" s="39" t="s">
        <v>4195</v>
      </c>
      <c r="L11" s="39" t="s">
        <v>1685</v>
      </c>
      <c r="N11" s="39" t="s">
        <v>67</v>
      </c>
      <c r="O11" s="39" t="s">
        <v>68</v>
      </c>
      <c r="Q11" s="39">
        <v>0.0</v>
      </c>
      <c r="R11" s="39">
        <v>0.0</v>
      </c>
      <c r="S11" s="39">
        <v>1.0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3.0</v>
      </c>
      <c r="Z11" s="30" t="s">
        <v>4196</v>
      </c>
      <c r="AA11" s="30" t="s">
        <v>266</v>
      </c>
      <c r="AC11" s="20" t="s">
        <v>4176</v>
      </c>
      <c r="AE11" s="39">
        <v>1.0</v>
      </c>
    </row>
    <row r="12">
      <c r="A12" s="30" t="s">
        <v>2913</v>
      </c>
      <c r="B12" s="39" t="s">
        <v>1972</v>
      </c>
      <c r="C12" s="39" t="s">
        <v>1973</v>
      </c>
      <c r="D12" s="39" t="s">
        <v>4130</v>
      </c>
      <c r="E12" s="39" t="s">
        <v>15</v>
      </c>
      <c r="F12" s="39" t="s">
        <v>397</v>
      </c>
      <c r="G12" s="39" t="s">
        <v>4197</v>
      </c>
      <c r="L12" s="39" t="s">
        <v>1685</v>
      </c>
      <c r="N12" s="39" t="s">
        <v>67</v>
      </c>
      <c r="O12" s="39" t="s">
        <v>68</v>
      </c>
      <c r="Q12" s="39">
        <v>0.0</v>
      </c>
      <c r="R12" s="39">
        <v>0.0</v>
      </c>
      <c r="S12" s="39">
        <v>1.0</v>
      </c>
      <c r="T12" s="39">
        <v>0.0</v>
      </c>
      <c r="U12" s="39"/>
      <c r="V12" s="39"/>
      <c r="W12" s="39"/>
      <c r="X12" s="39">
        <v>2.0</v>
      </c>
      <c r="Y12" s="39">
        <v>1.0</v>
      </c>
      <c r="Z12" s="30" t="s">
        <v>4198</v>
      </c>
      <c r="AA12" s="30" t="s">
        <v>1703</v>
      </c>
      <c r="AC12" s="20"/>
      <c r="AE12" s="39">
        <v>1.0</v>
      </c>
    </row>
    <row r="13">
      <c r="A13" s="108" t="s">
        <v>2915</v>
      </c>
      <c r="B13" s="39" t="s">
        <v>1972</v>
      </c>
      <c r="C13" s="39" t="s">
        <v>1973</v>
      </c>
      <c r="D13" s="39" t="s">
        <v>4130</v>
      </c>
      <c r="E13" s="39" t="s">
        <v>15</v>
      </c>
      <c r="F13" s="39" t="s">
        <v>397</v>
      </c>
      <c r="G13" s="39" t="s">
        <v>4199</v>
      </c>
      <c r="L13" s="39" t="s">
        <v>1685</v>
      </c>
      <c r="N13" s="39" t="s">
        <v>67</v>
      </c>
      <c r="O13" s="39" t="s">
        <v>68</v>
      </c>
      <c r="Q13" s="39">
        <v>0.0</v>
      </c>
      <c r="R13" s="39">
        <v>0.0</v>
      </c>
      <c r="S13" s="39">
        <v>1.0</v>
      </c>
      <c r="T13" s="39">
        <v>0.0</v>
      </c>
      <c r="U13" s="39"/>
      <c r="V13" s="39"/>
      <c r="W13" s="39"/>
      <c r="X13" s="39">
        <v>2.0</v>
      </c>
      <c r="Y13" s="39">
        <v>0.0</v>
      </c>
      <c r="Z13" s="30" t="s">
        <v>2916</v>
      </c>
      <c r="AA13" s="30" t="s">
        <v>2917</v>
      </c>
      <c r="AC13" s="20"/>
      <c r="AE13" s="39"/>
    </row>
    <row r="14">
      <c r="A14" s="39" t="s">
        <v>4200</v>
      </c>
      <c r="B14" s="39" t="s">
        <v>1972</v>
      </c>
      <c r="C14" s="39" t="s">
        <v>1973</v>
      </c>
      <c r="D14" s="39" t="s">
        <v>4130</v>
      </c>
      <c r="E14" s="39" t="s">
        <v>15</v>
      </c>
      <c r="F14" s="39" t="s">
        <v>397</v>
      </c>
      <c r="G14" s="39" t="s">
        <v>4201</v>
      </c>
      <c r="L14" s="39" t="s">
        <v>1685</v>
      </c>
      <c r="N14" s="39" t="s">
        <v>67</v>
      </c>
      <c r="O14" s="39" t="s">
        <v>68</v>
      </c>
      <c r="Q14" s="39">
        <v>0.0</v>
      </c>
      <c r="R14" s="39">
        <v>0.0</v>
      </c>
      <c r="S14" s="39">
        <v>1.0</v>
      </c>
      <c r="T14" s="39">
        <v>0.0</v>
      </c>
      <c r="U14" s="39">
        <v>0.0</v>
      </c>
      <c r="V14" s="39">
        <v>1.0</v>
      </c>
      <c r="W14" s="39">
        <v>0.0</v>
      </c>
      <c r="X14" s="39">
        <v>0.0</v>
      </c>
      <c r="Y14" s="39">
        <v>0.0</v>
      </c>
      <c r="AC14" s="20" t="s">
        <v>4176</v>
      </c>
      <c r="AE14" s="39">
        <v>1.0</v>
      </c>
    </row>
    <row r="15">
      <c r="A15" s="30" t="s">
        <v>2876</v>
      </c>
      <c r="B15" s="39" t="s">
        <v>1972</v>
      </c>
      <c r="C15" s="39" t="s">
        <v>1973</v>
      </c>
      <c r="D15" s="39" t="s">
        <v>4130</v>
      </c>
      <c r="E15" s="39" t="s">
        <v>15</v>
      </c>
      <c r="F15" s="39" t="s">
        <v>397</v>
      </c>
      <c r="G15" s="39" t="s">
        <v>4202</v>
      </c>
      <c r="L15" s="39" t="s">
        <v>1685</v>
      </c>
      <c r="N15" s="39" t="s">
        <v>67</v>
      </c>
      <c r="O15" s="39" t="s">
        <v>68</v>
      </c>
      <c r="Q15" s="39">
        <v>0.0</v>
      </c>
      <c r="R15" s="39">
        <v>0.0</v>
      </c>
      <c r="S15" s="39">
        <v>1.0</v>
      </c>
      <c r="T15" s="39">
        <v>0.0</v>
      </c>
      <c r="U15" s="39"/>
      <c r="V15" s="39"/>
      <c r="W15" s="39"/>
      <c r="X15" s="39">
        <v>1.0</v>
      </c>
      <c r="Y15" s="39">
        <v>0.0</v>
      </c>
      <c r="Z15" s="30" t="s">
        <v>2877</v>
      </c>
      <c r="AA15" s="30" t="s">
        <v>115</v>
      </c>
      <c r="AC15" s="20"/>
      <c r="AE15" s="39">
        <v>1.0</v>
      </c>
    </row>
    <row r="16">
      <c r="A16" s="39" t="s">
        <v>4203</v>
      </c>
      <c r="B16" s="39" t="s">
        <v>1972</v>
      </c>
      <c r="C16" s="39" t="s">
        <v>1973</v>
      </c>
      <c r="D16" s="39" t="s">
        <v>4130</v>
      </c>
      <c r="E16" s="39" t="s">
        <v>15</v>
      </c>
      <c r="F16" s="39" t="s">
        <v>397</v>
      </c>
      <c r="G16" s="39" t="s">
        <v>4204</v>
      </c>
      <c r="L16" s="39" t="s">
        <v>1685</v>
      </c>
      <c r="N16" s="39" t="s">
        <v>67</v>
      </c>
      <c r="O16" s="39" t="s">
        <v>68</v>
      </c>
      <c r="Q16" s="39">
        <v>0.0</v>
      </c>
      <c r="R16" s="39">
        <v>0.0</v>
      </c>
      <c r="S16" s="39">
        <v>1.0</v>
      </c>
      <c r="T16" s="39">
        <v>0.0</v>
      </c>
      <c r="U16" s="39">
        <v>0.0</v>
      </c>
      <c r="V16" s="39">
        <v>0.0</v>
      </c>
      <c r="W16" s="39">
        <v>0.0</v>
      </c>
      <c r="X16" s="39">
        <v>1.0</v>
      </c>
      <c r="Y16" s="39">
        <v>1.0</v>
      </c>
      <c r="Z16" s="30" t="s">
        <v>4205</v>
      </c>
      <c r="AA16" s="30" t="s">
        <v>70</v>
      </c>
      <c r="AC16" s="20" t="s">
        <v>4206</v>
      </c>
      <c r="AE16" s="39">
        <v>1.0</v>
      </c>
    </row>
    <row r="17">
      <c r="A17" s="30" t="s">
        <v>4207</v>
      </c>
      <c r="B17" s="39" t="s">
        <v>1972</v>
      </c>
      <c r="C17" s="39" t="s">
        <v>1973</v>
      </c>
      <c r="D17" s="39" t="s">
        <v>4130</v>
      </c>
      <c r="E17" s="39" t="s">
        <v>15</v>
      </c>
      <c r="F17" s="39" t="s">
        <v>397</v>
      </c>
      <c r="G17" s="39" t="s">
        <v>4208</v>
      </c>
      <c r="L17" s="39" t="s">
        <v>1685</v>
      </c>
      <c r="N17" s="39" t="s">
        <v>67</v>
      </c>
      <c r="O17" s="39" t="s">
        <v>68</v>
      </c>
      <c r="Q17" s="39">
        <v>0.0</v>
      </c>
      <c r="R17" s="39">
        <v>0.0</v>
      </c>
      <c r="S17" s="39">
        <v>1.0</v>
      </c>
      <c r="T17" s="39">
        <v>0.0</v>
      </c>
      <c r="U17" s="39"/>
      <c r="V17" s="39"/>
      <c r="W17" s="39"/>
      <c r="X17" s="39">
        <v>2.0</v>
      </c>
      <c r="Y17" s="39">
        <v>1.0</v>
      </c>
      <c r="Z17" s="30" t="s">
        <v>4209</v>
      </c>
      <c r="AA17" s="30" t="s">
        <v>1703</v>
      </c>
      <c r="AC17" s="20"/>
      <c r="AE17" s="39">
        <v>1.0</v>
      </c>
    </row>
    <row r="18">
      <c r="A18" s="30" t="s">
        <v>4210</v>
      </c>
      <c r="B18" s="39" t="s">
        <v>1972</v>
      </c>
      <c r="C18" s="39" t="s">
        <v>1973</v>
      </c>
      <c r="D18" s="39" t="s">
        <v>4130</v>
      </c>
      <c r="E18" s="39" t="s">
        <v>15</v>
      </c>
      <c r="F18" s="39" t="s">
        <v>397</v>
      </c>
      <c r="G18" s="39" t="s">
        <v>4211</v>
      </c>
      <c r="L18" s="39" t="s">
        <v>1685</v>
      </c>
      <c r="N18" s="39" t="s">
        <v>67</v>
      </c>
      <c r="O18" s="39" t="s">
        <v>68</v>
      </c>
      <c r="Q18" s="39">
        <v>0.0</v>
      </c>
      <c r="R18" s="39">
        <v>0.0</v>
      </c>
      <c r="S18" s="39">
        <v>1.0</v>
      </c>
      <c r="T18" s="39">
        <v>0.0</v>
      </c>
      <c r="U18" s="39"/>
      <c r="V18" s="39"/>
      <c r="W18" s="39"/>
      <c r="X18" s="39">
        <v>2.0</v>
      </c>
      <c r="Y18" s="39">
        <v>1.0</v>
      </c>
      <c r="Z18" s="30" t="s">
        <v>4209</v>
      </c>
      <c r="AA18" s="30" t="s">
        <v>1703</v>
      </c>
      <c r="AC18" s="20"/>
      <c r="AE18" s="39">
        <v>1.0</v>
      </c>
    </row>
    <row r="19">
      <c r="A19" s="30" t="s">
        <v>4212</v>
      </c>
      <c r="B19" s="39" t="s">
        <v>1972</v>
      </c>
      <c r="C19" s="39" t="s">
        <v>1973</v>
      </c>
      <c r="D19" s="39" t="s">
        <v>4130</v>
      </c>
      <c r="E19" s="39" t="s">
        <v>15</v>
      </c>
      <c r="F19" s="39" t="s">
        <v>397</v>
      </c>
      <c r="G19" s="39" t="s">
        <v>4213</v>
      </c>
      <c r="L19" s="39" t="s">
        <v>1685</v>
      </c>
      <c r="N19" s="39" t="s">
        <v>67</v>
      </c>
      <c r="O19" s="39" t="s">
        <v>68</v>
      </c>
      <c r="Q19" s="39">
        <v>0.0</v>
      </c>
      <c r="R19" s="39">
        <v>0.0</v>
      </c>
      <c r="S19" s="39">
        <v>1.0</v>
      </c>
      <c r="T19" s="39">
        <v>0.0</v>
      </c>
      <c r="U19" s="39"/>
      <c r="V19" s="39"/>
      <c r="W19" s="39"/>
      <c r="X19" s="39">
        <v>2.0</v>
      </c>
      <c r="Y19" s="39">
        <v>1.0</v>
      </c>
      <c r="Z19" s="30" t="s">
        <v>4209</v>
      </c>
      <c r="AA19" s="30" t="s">
        <v>1703</v>
      </c>
      <c r="AC19" s="20"/>
      <c r="AE19" s="39">
        <v>1.0</v>
      </c>
    </row>
    <row r="20">
      <c r="A20" s="30" t="s">
        <v>4214</v>
      </c>
      <c r="B20" s="39" t="s">
        <v>1972</v>
      </c>
      <c r="C20" s="39" t="s">
        <v>1973</v>
      </c>
      <c r="D20" s="39" t="s">
        <v>4130</v>
      </c>
      <c r="E20" s="39" t="s">
        <v>15</v>
      </c>
      <c r="F20" s="39" t="s">
        <v>397</v>
      </c>
      <c r="G20" s="39" t="s">
        <v>4213</v>
      </c>
      <c r="L20" s="39" t="s">
        <v>1685</v>
      </c>
      <c r="N20" s="39" t="s">
        <v>67</v>
      </c>
      <c r="O20" s="39" t="s">
        <v>68</v>
      </c>
      <c r="Q20" s="39">
        <v>0.0</v>
      </c>
      <c r="R20" s="39">
        <v>0.0</v>
      </c>
      <c r="S20" s="39">
        <v>1.0</v>
      </c>
      <c r="T20" s="39">
        <v>0.0</v>
      </c>
      <c r="U20" s="39"/>
      <c r="V20" s="39"/>
      <c r="W20" s="39"/>
      <c r="X20" s="39">
        <v>0.0</v>
      </c>
      <c r="Y20" s="39">
        <v>0.0</v>
      </c>
      <c r="Z20" s="30"/>
      <c r="AA20" s="30"/>
      <c r="AC20" s="20"/>
      <c r="AE20" s="39">
        <v>1.0</v>
      </c>
    </row>
    <row r="21">
      <c r="A21" s="30" t="s">
        <v>4215</v>
      </c>
      <c r="B21" s="39" t="s">
        <v>1972</v>
      </c>
      <c r="C21" s="39" t="s">
        <v>1973</v>
      </c>
      <c r="D21" s="39" t="s">
        <v>4130</v>
      </c>
      <c r="E21" s="39" t="s">
        <v>15</v>
      </c>
      <c r="F21" s="39" t="s">
        <v>397</v>
      </c>
      <c r="G21" s="39" t="s">
        <v>4213</v>
      </c>
      <c r="L21" s="39" t="s">
        <v>1685</v>
      </c>
      <c r="N21" s="39" t="s">
        <v>67</v>
      </c>
      <c r="O21" s="39" t="s">
        <v>68</v>
      </c>
      <c r="Q21" s="39">
        <v>0.0</v>
      </c>
      <c r="R21" s="39">
        <v>0.0</v>
      </c>
      <c r="S21" s="39">
        <v>1.0</v>
      </c>
      <c r="T21" s="39">
        <v>0.0</v>
      </c>
      <c r="U21" s="39"/>
      <c r="V21" s="39"/>
      <c r="W21" s="39"/>
      <c r="X21" s="39">
        <v>1.0</v>
      </c>
      <c r="Y21" s="39">
        <v>1.0</v>
      </c>
      <c r="Z21" s="30" t="s">
        <v>4216</v>
      </c>
      <c r="AA21" s="30" t="s">
        <v>70</v>
      </c>
      <c r="AC21" s="20"/>
      <c r="AE21" s="39">
        <v>1.0</v>
      </c>
    </row>
    <row r="22">
      <c r="A22" s="30" t="s">
        <v>4217</v>
      </c>
      <c r="B22" s="39" t="s">
        <v>1972</v>
      </c>
      <c r="C22" s="39" t="s">
        <v>1973</v>
      </c>
      <c r="D22" s="39" t="s">
        <v>4130</v>
      </c>
      <c r="E22" s="39" t="s">
        <v>15</v>
      </c>
      <c r="F22" s="39" t="s">
        <v>397</v>
      </c>
      <c r="G22" s="39" t="s">
        <v>4218</v>
      </c>
      <c r="L22" s="39" t="s">
        <v>1685</v>
      </c>
      <c r="N22" s="39" t="s">
        <v>67</v>
      </c>
      <c r="O22" s="39" t="s">
        <v>68</v>
      </c>
      <c r="Q22" s="39">
        <v>0.0</v>
      </c>
      <c r="R22" s="39">
        <v>0.0</v>
      </c>
      <c r="S22" s="39">
        <v>1.0</v>
      </c>
      <c r="T22" s="39">
        <v>0.0</v>
      </c>
      <c r="U22" s="39"/>
      <c r="V22" s="39"/>
      <c r="W22" s="39"/>
      <c r="X22" s="39">
        <v>1.0</v>
      </c>
      <c r="Y22" s="39">
        <v>2.0</v>
      </c>
      <c r="Z22" s="30" t="s">
        <v>4219</v>
      </c>
      <c r="AA22" s="30" t="s">
        <v>1138</v>
      </c>
      <c r="AC22" s="20"/>
      <c r="AE22" s="39">
        <v>1.0</v>
      </c>
    </row>
    <row r="23">
      <c r="A23" s="39" t="s">
        <v>1977</v>
      </c>
      <c r="B23" s="39" t="s">
        <v>1972</v>
      </c>
      <c r="C23" s="39" t="s">
        <v>1973</v>
      </c>
      <c r="D23" s="39" t="s">
        <v>4130</v>
      </c>
      <c r="E23" s="39" t="s">
        <v>15</v>
      </c>
      <c r="F23" s="39" t="s">
        <v>397</v>
      </c>
      <c r="G23" s="39" t="s">
        <v>65</v>
      </c>
      <c r="L23" s="39" t="s">
        <v>1685</v>
      </c>
      <c r="N23" s="39" t="s">
        <v>67</v>
      </c>
      <c r="O23" s="39" t="s">
        <v>68</v>
      </c>
      <c r="Q23" s="39">
        <v>0.0</v>
      </c>
      <c r="R23" s="39">
        <v>0.0</v>
      </c>
      <c r="S23" s="39">
        <v>1.0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1.0</v>
      </c>
      <c r="Z23" s="30" t="s">
        <v>4220</v>
      </c>
      <c r="AA23" s="30" t="s">
        <v>97</v>
      </c>
      <c r="AC23" s="20"/>
      <c r="AE23" s="39">
        <v>1.0</v>
      </c>
    </row>
    <row r="24">
      <c r="A24" s="108" t="s">
        <v>1980</v>
      </c>
      <c r="B24" s="39" t="s">
        <v>1972</v>
      </c>
      <c r="C24" s="39" t="s">
        <v>1973</v>
      </c>
      <c r="D24" s="39" t="s">
        <v>4130</v>
      </c>
      <c r="E24" s="39" t="s">
        <v>15</v>
      </c>
      <c r="F24" s="39" t="s">
        <v>397</v>
      </c>
      <c r="G24" s="39" t="s">
        <v>1981</v>
      </c>
      <c r="H24" s="39" t="s">
        <v>4221</v>
      </c>
      <c r="L24" s="39" t="s">
        <v>1685</v>
      </c>
      <c r="N24" s="39" t="s">
        <v>67</v>
      </c>
      <c r="O24" s="39" t="s">
        <v>68</v>
      </c>
      <c r="Q24" s="39">
        <v>0.0</v>
      </c>
      <c r="R24" s="39">
        <v>0.0</v>
      </c>
      <c r="S24" s="39">
        <v>1.0</v>
      </c>
      <c r="T24" s="39">
        <v>0.0</v>
      </c>
      <c r="X24" s="39">
        <v>1.0</v>
      </c>
      <c r="Y24" s="39">
        <v>0.0</v>
      </c>
      <c r="Z24" s="30" t="s">
        <v>4222</v>
      </c>
      <c r="AA24" s="30" t="s">
        <v>115</v>
      </c>
    </row>
    <row r="25">
      <c r="A25" s="30" t="s">
        <v>1983</v>
      </c>
      <c r="B25" s="39" t="s">
        <v>1972</v>
      </c>
      <c r="C25" s="39" t="s">
        <v>1973</v>
      </c>
      <c r="D25" s="39" t="s">
        <v>4130</v>
      </c>
      <c r="E25" s="39" t="s">
        <v>15</v>
      </c>
      <c r="F25" s="39" t="s">
        <v>397</v>
      </c>
      <c r="G25" s="39" t="s">
        <v>662</v>
      </c>
      <c r="H25" s="39" t="s">
        <v>4223</v>
      </c>
      <c r="L25" s="39" t="s">
        <v>1685</v>
      </c>
      <c r="N25" s="39" t="s">
        <v>67</v>
      </c>
      <c r="O25" s="39" t="s">
        <v>68</v>
      </c>
      <c r="Q25" s="39">
        <v>0.0</v>
      </c>
      <c r="R25" s="39">
        <v>0.0</v>
      </c>
      <c r="S25" s="39">
        <v>1.0</v>
      </c>
      <c r="T25" s="39">
        <v>0.0</v>
      </c>
      <c r="X25" s="39">
        <v>1.0</v>
      </c>
      <c r="Y25" s="39">
        <v>0.0</v>
      </c>
      <c r="Z25" s="30" t="s">
        <v>4222</v>
      </c>
      <c r="AA25" s="30" t="s">
        <v>115</v>
      </c>
      <c r="AE25" s="39">
        <v>1.0</v>
      </c>
    </row>
    <row r="26">
      <c r="A26" s="30" t="s">
        <v>1985</v>
      </c>
      <c r="B26" s="39" t="s">
        <v>1972</v>
      </c>
      <c r="C26" s="39" t="s">
        <v>1973</v>
      </c>
      <c r="D26" s="39" t="s">
        <v>4130</v>
      </c>
      <c r="E26" s="39" t="s">
        <v>15</v>
      </c>
      <c r="F26" s="39" t="s">
        <v>397</v>
      </c>
      <c r="G26" s="39" t="s">
        <v>657</v>
      </c>
      <c r="H26" s="39" t="s">
        <v>4223</v>
      </c>
      <c r="L26" s="39" t="s">
        <v>1685</v>
      </c>
      <c r="N26" s="39" t="s">
        <v>81</v>
      </c>
      <c r="O26" s="39" t="s">
        <v>68</v>
      </c>
      <c r="Q26" s="39">
        <v>1.0</v>
      </c>
      <c r="R26" s="39">
        <v>0.0</v>
      </c>
      <c r="S26" s="39">
        <v>0.0</v>
      </c>
      <c r="T26" s="39">
        <v>0.0</v>
      </c>
      <c r="X26" s="39">
        <v>1.0</v>
      </c>
      <c r="Y26" s="39">
        <v>0.0</v>
      </c>
      <c r="Z26" s="30" t="s">
        <v>4222</v>
      </c>
      <c r="AA26" s="30" t="s">
        <v>115</v>
      </c>
      <c r="AE26" s="39">
        <v>1.0</v>
      </c>
    </row>
    <row r="27">
      <c r="A27" s="30" t="s">
        <v>1986</v>
      </c>
      <c r="B27" s="39" t="s">
        <v>1972</v>
      </c>
      <c r="C27" s="39" t="s">
        <v>1973</v>
      </c>
      <c r="D27" s="39" t="s">
        <v>4130</v>
      </c>
      <c r="E27" s="39" t="s">
        <v>15</v>
      </c>
      <c r="F27" s="39" t="s">
        <v>397</v>
      </c>
      <c r="G27" s="39" t="s">
        <v>4224</v>
      </c>
      <c r="L27" s="39" t="s">
        <v>1685</v>
      </c>
      <c r="N27" s="39" t="s">
        <v>67</v>
      </c>
      <c r="O27" s="39" t="s">
        <v>68</v>
      </c>
      <c r="Q27" s="39">
        <v>0.0</v>
      </c>
      <c r="R27" s="39">
        <v>0.0</v>
      </c>
      <c r="S27" s="39">
        <v>1.0</v>
      </c>
      <c r="T27" s="39">
        <v>0.0</v>
      </c>
      <c r="X27" s="39">
        <v>0.0</v>
      </c>
      <c r="Y27" s="39">
        <v>0.0</v>
      </c>
      <c r="AC27" s="20"/>
      <c r="AE27" s="39">
        <v>1.0</v>
      </c>
    </row>
    <row r="29">
      <c r="A29" s="30"/>
    </row>
    <row r="31">
      <c r="Y31" s="2"/>
      <c r="Z31" s="2"/>
    </row>
    <row r="32">
      <c r="Y32" s="2"/>
      <c r="Z32" s="2"/>
    </row>
    <row r="33">
      <c r="Y33" s="2"/>
      <c r="Z33" s="2"/>
    </row>
    <row r="34">
      <c r="Y34" s="2"/>
      <c r="Z34" s="2"/>
    </row>
    <row r="35">
      <c r="A35" s="30"/>
      <c r="Y35" s="2"/>
      <c r="Z35" s="2"/>
    </row>
    <row r="36">
      <c r="Y36" s="2"/>
      <c r="Z36" s="2"/>
    </row>
    <row r="37">
      <c r="Y37" s="2"/>
      <c r="Z37" s="2"/>
    </row>
    <row r="38">
      <c r="A38" s="30"/>
      <c r="Y38" s="2"/>
      <c r="Z38" s="2"/>
    </row>
    <row r="39">
      <c r="Y39" s="2"/>
      <c r="Z39" s="2"/>
    </row>
    <row r="40">
      <c r="Y40" s="2"/>
      <c r="Z40" s="2"/>
    </row>
    <row r="41">
      <c r="A41" s="30"/>
      <c r="Y41" s="2"/>
      <c r="Z41" s="2"/>
    </row>
    <row r="42">
      <c r="Y42" s="2"/>
      <c r="Z42" s="2"/>
    </row>
    <row r="43">
      <c r="Y43" s="2"/>
      <c r="Z43" s="2"/>
    </row>
    <row r="66">
      <c r="E66" s="2"/>
    </row>
    <row r="67">
      <c r="E67" s="2"/>
    </row>
    <row r="68">
      <c r="E68" s="2"/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4130</v>
      </c>
      <c r="B2" s="39" t="s">
        <v>1771</v>
      </c>
      <c r="C2" s="39" t="s">
        <v>64</v>
      </c>
      <c r="D2" s="39" t="s">
        <v>2805</v>
      </c>
      <c r="E2" s="39" t="s">
        <v>2806</v>
      </c>
      <c r="H2" s="39">
        <v>70.0</v>
      </c>
      <c r="M2" s="39" t="s">
        <v>4225</v>
      </c>
    </row>
    <row r="3">
      <c r="A3" s="39" t="s">
        <v>4130</v>
      </c>
      <c r="B3" s="39" t="s">
        <v>1771</v>
      </c>
      <c r="C3" s="39" t="s">
        <v>64</v>
      </c>
      <c r="D3" s="39" t="s">
        <v>4226</v>
      </c>
      <c r="E3" s="39" t="s">
        <v>4227</v>
      </c>
      <c r="H3" s="39">
        <v>80.0</v>
      </c>
      <c r="M3" s="39" t="s">
        <v>4228</v>
      </c>
    </row>
    <row r="4">
      <c r="A4" s="39" t="s">
        <v>4130</v>
      </c>
      <c r="B4" s="39" t="s">
        <v>1771</v>
      </c>
      <c r="C4" s="39" t="s">
        <v>64</v>
      </c>
      <c r="D4" s="41">
        <v>112.99</v>
      </c>
      <c r="E4" s="39" t="s">
        <v>4229</v>
      </c>
      <c r="H4" s="39">
        <v>30.0</v>
      </c>
      <c r="M4" s="39" t="s">
        <v>4230</v>
      </c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39" t="s">
        <v>377</v>
      </c>
      <c r="B1" s="39" t="s">
        <v>378</v>
      </c>
    </row>
    <row r="2">
      <c r="A2" s="39" t="s">
        <v>4231</v>
      </c>
      <c r="B2" s="39" t="s">
        <v>2731</v>
      </c>
    </row>
    <row r="3">
      <c r="A3" s="39" t="s">
        <v>4232</v>
      </c>
      <c r="B3" s="39" t="s">
        <v>4160</v>
      </c>
    </row>
    <row r="4">
      <c r="A4" s="39" t="s">
        <v>4233</v>
      </c>
      <c r="B4" s="39" t="s">
        <v>4163</v>
      </c>
    </row>
    <row r="5">
      <c r="A5" s="39" t="s">
        <v>4234</v>
      </c>
      <c r="B5" s="39" t="s">
        <v>4165</v>
      </c>
    </row>
    <row r="6">
      <c r="A6" s="39" t="s">
        <v>4235</v>
      </c>
      <c r="B6" s="39" t="s">
        <v>4167</v>
      </c>
    </row>
    <row r="7">
      <c r="A7" s="39" t="s">
        <v>4236</v>
      </c>
    </row>
  </sheetData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  <row r="2">
      <c r="A2" s="39" t="s">
        <v>4130</v>
      </c>
      <c r="B2" s="39" t="s">
        <v>1684</v>
      </c>
      <c r="C2" s="39" t="s">
        <v>397</v>
      </c>
      <c r="D2" s="39" t="s">
        <v>4227</v>
      </c>
      <c r="E2" s="39" t="s">
        <v>4226</v>
      </c>
      <c r="H2" s="39">
        <v>70.0</v>
      </c>
      <c r="M2" s="39" t="s">
        <v>4237</v>
      </c>
    </row>
    <row r="3">
      <c r="A3" s="39" t="s">
        <v>4130</v>
      </c>
      <c r="B3" s="39" t="s">
        <v>1684</v>
      </c>
      <c r="C3" s="39" t="s">
        <v>397</v>
      </c>
      <c r="D3" s="39" t="s">
        <v>2806</v>
      </c>
      <c r="E3" s="39" t="s">
        <v>2933</v>
      </c>
      <c r="H3" s="39">
        <v>80.0</v>
      </c>
      <c r="M3" s="39" t="s">
        <v>4238</v>
      </c>
    </row>
  </sheetData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  <row r="2">
      <c r="A2" s="39" t="s">
        <v>4236</v>
      </c>
      <c r="B2" s="39" t="s">
        <v>4173</v>
      </c>
    </row>
    <row r="3">
      <c r="A3" s="39" t="s">
        <v>4235</v>
      </c>
      <c r="B3" s="39" t="s">
        <v>4161</v>
      </c>
    </row>
    <row r="4">
      <c r="A4" s="39" t="s">
        <v>4234</v>
      </c>
      <c r="B4" s="39" t="s">
        <v>4186</v>
      </c>
    </row>
    <row r="5">
      <c r="A5" s="39" t="s">
        <v>4233</v>
      </c>
      <c r="B5" s="39" t="s">
        <v>4186</v>
      </c>
    </row>
    <row r="6">
      <c r="A6" s="39" t="s">
        <v>4232</v>
      </c>
    </row>
    <row r="7">
      <c r="A7" s="39" t="s">
        <v>4231</v>
      </c>
    </row>
  </sheetData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</sheetData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</sheetData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</sheetData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</sheetData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</sheetData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</sheetData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</sheetData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</sheetData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</sheetData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</sheetData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</sheetData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</sheetData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</sheetData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</sheetData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8" t="s">
        <v>50</v>
      </c>
      <c r="V1" s="18" t="s">
        <v>51</v>
      </c>
      <c r="W1" s="18" t="s">
        <v>52</v>
      </c>
      <c r="X1" s="18" t="s">
        <v>53</v>
      </c>
      <c r="Y1" s="18" t="s">
        <v>54</v>
      </c>
      <c r="Z1" s="18" t="s">
        <v>55</v>
      </c>
      <c r="AA1" s="18" t="s">
        <v>56</v>
      </c>
      <c r="AB1" s="18" t="s">
        <v>57</v>
      </c>
      <c r="AC1" s="18" t="s">
        <v>58</v>
      </c>
      <c r="AD1" s="18" t="s">
        <v>59</v>
      </c>
      <c r="AE1" s="18" t="s">
        <v>60</v>
      </c>
    </row>
  </sheetData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33</v>
      </c>
      <c r="B1" s="39" t="s">
        <v>34</v>
      </c>
      <c r="C1" s="39" t="s">
        <v>35</v>
      </c>
      <c r="D1" s="39" t="s">
        <v>1140</v>
      </c>
      <c r="E1" s="39" t="s">
        <v>1141</v>
      </c>
      <c r="F1" s="39" t="s">
        <v>1142</v>
      </c>
      <c r="G1" s="39" t="s">
        <v>1143</v>
      </c>
      <c r="H1" s="39" t="s">
        <v>1144</v>
      </c>
      <c r="I1" s="39" t="s">
        <v>1145</v>
      </c>
      <c r="J1" s="39" t="s">
        <v>1146</v>
      </c>
      <c r="K1" s="39" t="s">
        <v>1147</v>
      </c>
      <c r="L1" s="39" t="s">
        <v>1148</v>
      </c>
      <c r="M1" s="39" t="s">
        <v>1149</v>
      </c>
      <c r="N1" s="39" t="s">
        <v>1150</v>
      </c>
      <c r="O1" s="39" t="s">
        <v>1151</v>
      </c>
    </row>
  </sheetData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377</v>
      </c>
      <c r="B1" s="39" t="s">
        <v>378</v>
      </c>
    </row>
  </sheetData>
  <drawing r:id="rId1"/>
</worksheet>
</file>